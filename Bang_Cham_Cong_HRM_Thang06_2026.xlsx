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NG QUAN" sheetId="1" state="visible" r:id="rId3"/>
    <sheet name="DM_NHAN_VIEN" sheetId="2" state="visible" r:id="rId4"/>
    <sheet name="DM_CA_LAM" sheetId="3" state="visible" r:id="rId5"/>
    <sheet name="DM_TRANG_THAI" sheetId="4" state="visible" r:id="rId6"/>
    <sheet name="CHI_TIET_CHAM_CONG" sheetId="5" state="visible" r:id="rId7"/>
    <sheet name="BANG_CONG_THAN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<sst xmlns="http://schemas.openxmlformats.org/spreadsheetml/2006/main" count="1862" uniqueCount="217">
  <si>
    <t xml:space="preserve">BẢNG CHẤM CÔNG NHÂN VIÊN</t>
  </si>
  <si>
    <t xml:space="preserve">Tháng 06/2026  -  Công ty TNHH (theo dữ liặu hệ thống HRM)</t>
  </si>
  <si>
    <t xml:space="preserve">NỘI DUNG FILE</t>
  </si>
  <si>
    <t xml:space="preserve">1. DM_NHAN_VIEN</t>
  </si>
  <si>
    <t xml:space="preserve">Danh mục nhân viên: mã NV, họ tên, phòng ban, chức vụ, ca làm chính, ngày vào làm (tương ứng bảng users / employee_profiles / departments / positions trong database).</t>
  </si>
  <si>
    <t xml:space="preserve">2. DM_CA_LAM</t>
  </si>
  <si>
    <t xml:space="preserve">Danh mục ca làm việc: giờ vào/ra chuẩn, giờ nghỉ giữa ca, hệ số lương ca (tương ứng bảng shifts).</t>
  </si>
  <si>
    <t xml:space="preserve">3. CHI_TIET_CHAM_CONG</t>
  </si>
  <si>
    <t xml:space="preserve">Bảng chấm công CHI TIẾT theo từng ngày / từng nhân viên: giờ vào - ra thực tế, số phút đi muộn / về sớm, số giờ công, trạng thái, giờ OT, lý do OT, ghi chú (tương ứng bảng attendance).</t>
  </si>
  <si>
    <t xml:space="preserve">4. BANG_CONG_THANG</t>
  </si>
  <si>
    <t xml:space="preserve">Bảng CÔNG tổng hợp theo tháng (dạng bảng chấm công truyền thống): mỗi dòng là 1 nhân viên, mỗi cột là 1 ngày trong tháng, tự đổ mã trạng thái và tổng hợp công bằng công thức từ sheet chi tiết.</t>
  </si>
  <si>
    <t xml:space="preserve">5. DM_TRANG_THAI</t>
  </si>
  <si>
    <t xml:space="preserve">Giải thích mã trạng thái dùng trong bảng công (P, L, A, NP, KL, CN).</t>
  </si>
  <si>
    <t xml:space="preserve">LưU Ý</t>
  </si>
  <si>
    <t xml:space="preserve">Tất cả các cột tổng hợp (số công, số ngày muộn, số ngày vắng, tổng giờ OT...) đều dùng công thức Excel (COUNTIF/SUMIFS/VLOOKUP) tham chiều trực tiếp từ sheet CHI_TIET_CHAM_CONG và DM_NHAN_VIEN, nên khi sửa dụ liệu chi tiết (giờ vào/ra, trạng thái...) các bảng tổng hợp sẽ tự cập nhật.</t>
  </si>
  <si>
    <t xml:space="preserve">DANH MỤC NHÂN VIÊN</t>
  </si>
  <si>
    <t xml:space="preserve">Tương ứng bảng: users + employee_profiles + departments + positions</t>
  </si>
  <si>
    <t xml:space="preserve">STT</t>
  </si>
  <si>
    <t xml:space="preserve">Mã NV</t>
  </si>
  <si>
    <t xml:space="preserve">Họ và tên</t>
  </si>
  <si>
    <t xml:space="preserve">Phòng ban</t>
  </si>
  <si>
    <t xml:space="preserve">Chức vụ</t>
  </si>
  <si>
    <t xml:space="preserve">Ca làm chính</t>
  </si>
  <si>
    <t xml:space="preserve">Ngày vào làm</t>
  </si>
  <si>
    <t xml:space="preserve">NV002</t>
  </si>
  <si>
    <t xml:space="preserve">Nguyễn Văn Giám Đốc</t>
  </si>
  <si>
    <t xml:space="preserve">Hành chính</t>
  </si>
  <si>
    <t xml:space="preserve">Giám đốc</t>
  </si>
  <si>
    <t xml:space="preserve">Ca Hành Chính</t>
  </si>
  <si>
    <t xml:space="preserve">2020-01-01</t>
  </si>
  <si>
    <t xml:space="preserve">NV003</t>
  </si>
  <si>
    <t xml:space="preserve">Trần Thị Nhân Sự</t>
  </si>
  <si>
    <t xml:space="preserve">Nhân sự</t>
  </si>
  <si>
    <t xml:space="preserve">Trưởng phòng</t>
  </si>
  <si>
    <t xml:space="preserve">2021-03-10</t>
  </si>
  <si>
    <t xml:space="preserve">NV004</t>
  </si>
  <si>
    <t xml:space="preserve">Lê Văn Quản Đốc</t>
  </si>
  <si>
    <t xml:space="preserve">Xưởng sản xuất</t>
  </si>
  <si>
    <t xml:space="preserve">Quản đốc</t>
  </si>
  <si>
    <t xml:space="preserve">2020-06-01</t>
  </si>
  <si>
    <t xml:space="preserve">NV005</t>
  </si>
  <si>
    <t xml:space="preserve">Phạm Công Nhân</t>
  </si>
  <si>
    <t xml:space="preserve">Công nhân</t>
  </si>
  <si>
    <t xml:space="preserve">2022-02-15</t>
  </si>
  <si>
    <t xml:space="preserve">NV006</t>
  </si>
  <si>
    <t xml:space="preserve">Đỗ Thị Hà</t>
  </si>
  <si>
    <t xml:space="preserve">2018-03-01</t>
  </si>
  <si>
    <t xml:space="preserve">NV007</t>
  </si>
  <si>
    <t xml:space="preserve">Ngô Văn Tài</t>
  </si>
  <si>
    <t xml:space="preserve">Phó phòng</t>
  </si>
  <si>
    <t xml:space="preserve">2020-05-01</t>
  </si>
  <si>
    <t xml:space="preserve">NV008</t>
  </si>
  <si>
    <t xml:space="preserve">Vũ Thị Nga</t>
  </si>
  <si>
    <t xml:space="preserve">Chuyên viên</t>
  </si>
  <si>
    <t xml:space="preserve">2021-01-10</t>
  </si>
  <si>
    <t xml:space="preserve">NV010</t>
  </si>
  <si>
    <t xml:space="preserve">Đặng Thị Hồng</t>
  </si>
  <si>
    <t xml:space="preserve">2021-06-01</t>
  </si>
  <si>
    <t xml:space="preserve">NV011</t>
  </si>
  <si>
    <t xml:space="preserve">Chu Văn Minh</t>
  </si>
  <si>
    <t xml:space="preserve">2021-07-01</t>
  </si>
  <si>
    <t xml:space="preserve">NV014</t>
  </si>
  <si>
    <t xml:space="preserve">Phan Thị Khánh</t>
  </si>
  <si>
    <t xml:space="preserve">Kế toán</t>
  </si>
  <si>
    <t xml:space="preserve">2019-02-01</t>
  </si>
  <si>
    <t xml:space="preserve">NV015</t>
  </si>
  <si>
    <t xml:space="preserve">Trịnh Văn Hùng</t>
  </si>
  <si>
    <t xml:space="preserve">2020-04-01</t>
  </si>
  <si>
    <t xml:space="preserve">NV019</t>
  </si>
  <si>
    <t xml:space="preserve">Hoàng Văn Lộc</t>
  </si>
  <si>
    <t xml:space="preserve">Kinh doanh</t>
  </si>
  <si>
    <t xml:space="preserve">2019-09-01</t>
  </si>
  <si>
    <t xml:space="preserve">NV021</t>
  </si>
  <si>
    <t xml:space="preserve">Nguyễn Văn Phú</t>
  </si>
  <si>
    <t xml:space="preserve">Nhân viên</t>
  </si>
  <si>
    <t xml:space="preserve">2022-04-01</t>
  </si>
  <si>
    <t xml:space="preserve">NV029</t>
  </si>
  <si>
    <t xml:space="preserve">Lý Văn Dũng</t>
  </si>
  <si>
    <t xml:space="preserve">Tổ trưởng</t>
  </si>
  <si>
    <t xml:space="preserve">2018-08-01</t>
  </si>
  <si>
    <t xml:space="preserve">NV030</t>
  </si>
  <si>
    <t xml:space="preserve">Tống Văn Thắng</t>
  </si>
  <si>
    <t xml:space="preserve">2019-05-01</t>
  </si>
  <si>
    <t xml:space="preserve">DANH MỤC CA LÀM VIỆC</t>
  </si>
  <si>
    <t xml:space="preserve">Tương ứng bảng: shifts</t>
  </si>
  <si>
    <t xml:space="preserve">Ca làm việc</t>
  </si>
  <si>
    <t xml:space="preserve">Giờ vào chuẩn</t>
  </si>
  <si>
    <t xml:space="preserve">Giờ ra chuẩn</t>
  </si>
  <si>
    <t xml:space="preserve">Nghỉ giởa ca (từ)</t>
  </si>
  <si>
    <t xml:space="preserve">Nghỉ giởa ca (đến)</t>
  </si>
  <si>
    <t xml:space="preserve">Số giờ làm chuẩn</t>
  </si>
  <si>
    <t xml:space="preserve">Hệ số lương ca</t>
  </si>
  <si>
    <t xml:space="preserve">07:30</t>
  </si>
  <si>
    <t xml:space="preserve">17:30</t>
  </si>
  <si>
    <t xml:space="preserve">11:00</t>
  </si>
  <si>
    <t xml:space="preserve">13:00</t>
  </si>
  <si>
    <t xml:space="preserve">Ca Đêm 1</t>
  </si>
  <si>
    <t xml:space="preserve">18:00</t>
  </si>
  <si>
    <t xml:space="preserve">20:00</t>
  </si>
  <si>
    <t xml:space="preserve">Ca Đêm 2</t>
  </si>
  <si>
    <t xml:space="preserve">22:00</t>
  </si>
  <si>
    <t xml:space="preserve">20:30</t>
  </si>
  <si>
    <t xml:space="preserve">DANH MỤC TRẮNG THÁI CHẤM CÔNG</t>
  </si>
  <si>
    <t xml:space="preserve">Mã dùng trong sheet BANG_CONG_THANG</t>
  </si>
  <si>
    <t xml:space="preserve">Trạng thái (chi tiết)</t>
  </si>
  <si>
    <t xml:space="preserve">Mã (bảng công)</t>
  </si>
  <si>
    <t xml:space="preserve">Diễn giải</t>
  </si>
  <si>
    <t xml:space="preserve">Màu</t>
  </si>
  <si>
    <t xml:space="preserve">Đi làm đủ công</t>
  </si>
  <si>
    <t xml:space="preserve">P</t>
  </si>
  <si>
    <t xml:space="preserve">Nhân viên đi làm đầy đủ, đúng giờ</t>
  </si>
  <si>
    <t xml:space="preserve">Đi muộn</t>
  </si>
  <si>
    <t xml:space="preserve">L</t>
  </si>
  <si>
    <t xml:space="preserve">Nhân viên đi làm nhưng vào trễ hơn giờ chuẩn</t>
  </si>
  <si>
    <t xml:space="preserve">Vắng không lý do</t>
  </si>
  <si>
    <t xml:space="preserve">A</t>
  </si>
  <si>
    <t xml:space="preserve">Nhân viên nghỉ không phép, không báo trước</t>
  </si>
  <si>
    <t xml:space="preserve">Nghỉ phép năm</t>
  </si>
  <si>
    <t xml:space="preserve">NP</t>
  </si>
  <si>
    <t xml:space="preserve">Nghỉ theo chế độ phép năm, vẫn hưởng lương</t>
  </si>
  <si>
    <t xml:space="preserve">Nghỉ không lương</t>
  </si>
  <si>
    <t xml:space="preserve">KL</t>
  </si>
  <si>
    <t xml:space="preserve">Nghỉ không hưởng lương</t>
  </si>
  <si>
    <t xml:space="preserve">Ngày nghỉ theo lịch</t>
  </si>
  <si>
    <t xml:space="preserve">CN</t>
  </si>
  <si>
    <t xml:space="preserve">Ngày nghỉ theo lịch (Chủ Nhật) - không phải ngày công</t>
  </si>
  <si>
    <t xml:space="preserve">BẢNG CHẤM CÔNG CHI TIẾT - THÁNG 06/2026</t>
  </si>
  <si>
    <t xml:space="preserve">Tương ứng bảng: attendance (user_id, shift_id, work_date, check_in, check_out, status, overtime_hrs, ot_reason)</t>
  </si>
  <si>
    <t xml:space="preserve">Ngày</t>
  </si>
  <si>
    <t xml:space="preserve">Thứ</t>
  </si>
  <si>
    <t xml:space="preserve">Ca làm</t>
  </si>
  <si>
    <t xml:space="preserve">Giờ vào thực tế</t>
  </si>
  <si>
    <t xml:space="preserve">Giờ ra thực tế</t>
  </si>
  <si>
    <t xml:space="preserve">Đi muộn (phút)</t>
  </si>
  <si>
    <t xml:space="preserve">Về sớm (phút)</t>
  </si>
  <si>
    <t xml:space="preserve">Số giờ công</t>
  </si>
  <si>
    <t xml:space="preserve">Trạng thái</t>
  </si>
  <si>
    <t xml:space="preserve">Giờ OT</t>
  </si>
  <si>
    <t xml:space="preserve">Lý do OT</t>
  </si>
  <si>
    <t xml:space="preserve">Ghi chú</t>
  </si>
  <si>
    <t xml:space="preserve">_KEY</t>
  </si>
  <si>
    <t xml:space="preserve">_MA_CODE</t>
  </si>
  <si>
    <t xml:space="preserve">07:20</t>
  </si>
  <si>
    <t xml:space="preserve">17:38</t>
  </si>
  <si>
    <t xml:space="preserve">17:33</t>
  </si>
  <si>
    <t xml:space="preserve">07:26</t>
  </si>
  <si>
    <t xml:space="preserve">17:40</t>
  </si>
  <si>
    <t xml:space="preserve">07:29</t>
  </si>
  <si>
    <t xml:space="preserve">07:28</t>
  </si>
  <si>
    <t xml:space="preserve">17:36</t>
  </si>
  <si>
    <t xml:space="preserve">07:22</t>
  </si>
  <si>
    <t xml:space="preserve">Hỗ trợ kiểm kê cuối tháng</t>
  </si>
  <si>
    <t xml:space="preserve">08:05</t>
  </si>
  <si>
    <t xml:space="preserve">17:34</t>
  </si>
  <si>
    <t xml:space="preserve">Kẹt xe</t>
  </si>
  <si>
    <t xml:space="preserve">08:02</t>
  </si>
  <si>
    <t xml:space="preserve">07:23</t>
  </si>
  <si>
    <t xml:space="preserve">17:42</t>
  </si>
  <si>
    <t xml:space="preserve">07:25</t>
  </si>
  <si>
    <t xml:space="preserve">17:39</t>
  </si>
  <si>
    <t xml:space="preserve">07:21</t>
  </si>
  <si>
    <t xml:space="preserve">07:24</t>
  </si>
  <si>
    <t xml:space="preserve">17:32</t>
  </si>
  <si>
    <t xml:space="preserve">17:43</t>
  </si>
  <si>
    <t xml:space="preserve">17:31</t>
  </si>
  <si>
    <t xml:space="preserve">17:45</t>
  </si>
  <si>
    <t xml:space="preserve">17:37</t>
  </si>
  <si>
    <t xml:space="preserve">07:27</t>
  </si>
  <si>
    <t xml:space="preserve">07:46</t>
  </si>
  <si>
    <t xml:space="preserve">Xử lý đơn hàng gấp</t>
  </si>
  <si>
    <t xml:space="preserve">17:44</t>
  </si>
  <si>
    <t xml:space="preserve">07:53</t>
  </si>
  <si>
    <t xml:space="preserve">Họng xe giữa đường</t>
  </si>
  <si>
    <t xml:space="preserve">07:37</t>
  </si>
  <si>
    <t xml:space="preserve">17:35</t>
  </si>
  <si>
    <t xml:space="preserve">07:52</t>
  </si>
  <si>
    <t xml:space="preserve">07:35</t>
  </si>
  <si>
    <t xml:space="preserve">Họp tăng ca sản xuất</t>
  </si>
  <si>
    <t xml:space="preserve">Không báo trước</t>
  </si>
  <si>
    <t xml:space="preserve">Khách hàng yêu cầu gấp</t>
  </si>
  <si>
    <t xml:space="preserve">07:36</t>
  </si>
  <si>
    <t xml:space="preserve">07:44</t>
  </si>
  <si>
    <t xml:space="preserve">Bễ con ốm đậa đi khám</t>
  </si>
  <si>
    <t xml:space="preserve">17:41</t>
  </si>
  <si>
    <t xml:space="preserve">Khắc phục sự cố thiết bị</t>
  </si>
  <si>
    <t xml:space="preserve">Báo nghi về muộn</t>
  </si>
  <si>
    <t xml:space="preserve">07:40</t>
  </si>
  <si>
    <t xml:space="preserve">07:55</t>
  </si>
  <si>
    <t xml:space="preserve">07:48</t>
  </si>
  <si>
    <t xml:space="preserve">07:59</t>
  </si>
  <si>
    <t xml:space="preserve">08:04</t>
  </si>
  <si>
    <t xml:space="preserve">07:58</t>
  </si>
  <si>
    <t xml:space="preserve">08:00</t>
  </si>
  <si>
    <t xml:space="preserve">08:03</t>
  </si>
  <si>
    <t xml:space="preserve">07:57</t>
  </si>
  <si>
    <t xml:space="preserve">07:47</t>
  </si>
  <si>
    <t xml:space="preserve">08:01</t>
  </si>
  <si>
    <t xml:space="preserve">07:54</t>
  </si>
  <si>
    <t xml:space="preserve">07:45</t>
  </si>
  <si>
    <t xml:space="preserve">07:49</t>
  </si>
  <si>
    <t xml:space="preserve">07:39</t>
  </si>
  <si>
    <t xml:space="preserve">BẢNG CÔNG TỔNG HỢP - THÁNG 06/2026</t>
  </si>
  <si>
    <t xml:space="preserve">Mỗi ngày lấy tự động từ sheet CHI_TIET_CHAM_CONG  |  Mã: P=đi làm, L=đi muộn, A=vắng, NP=nghỉ phép, KL=nghỉ không lương, CN=Chủ Nhật</t>
  </si>
  <si>
    <t xml:space="preserve">Tổng ngày công</t>
  </si>
  <si>
    <t xml:space="preserve">Số ngày đi muộn</t>
  </si>
  <si>
    <t xml:space="preserve">Số ngày vắng</t>
  </si>
  <si>
    <t xml:space="preserve">Số ngày nghỉ phép/KL</t>
  </si>
  <si>
    <t xml:space="preserve">Tổng giờ OT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</si>
  <si>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</si>
  <si>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</si>
  <si>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</si>
  <si>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</si>
  <si>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</si>
  <si>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</si>
  <si>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TỔNG CỮNG</t>
  </si>
  <si>
    <t xml:space="preserve">Ghi chú mã:</t>
  </si>
  <si>
    <t xml:space="preserve">P=Đi làm đủ công | L=Đi muộn | A=Vắng không lý do | NP=Nghỉ phép năm | KL=Nghỉ không lương | CN=Chủ Nhật (không tính công)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</si>
</sst>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dd/mm/yyyy"/>
    <numFmt numFmtId="167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8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color rgb="FF4B2E83"/>
      <name val="Arial"/>
      <family val="0"/>
      <charset val="1"/>
    </font>
    <font>
      <sz val="10"/>
      <color rgb="FF80808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404040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D9D2E9"/>
      </patternFill>
    </fill>
    <fill>
      <patternFill patternType="solid">
        <fgColor rgb="FFBDD7EE"/>
        <bgColor rgb="FFD9D2E9"/>
      </patternFill>
    </fill>
    <fill>
      <patternFill patternType="solid">
        <fgColor rgb="FFD9D2E9"/>
        <bgColor rgb="FFD9E1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D9D2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1F4E78"/>
        <sz val="10"/>
      </font>
      <fill>
        <patternFill>
          <bgColor rgb="FFBDD7EE"/>
        </patternFill>
      </fill>
    </dxf>
    <dxf>
      <font>
        <name val="Arial"/>
        <charset val="1"/>
        <family val="0"/>
        <b val="1"/>
        <color rgb="FF4B2E83"/>
        <sz val="10"/>
      </font>
      <fill>
        <patternFill>
          <bgColor rgb="FFD9D2E9"/>
        </patternFill>
      </fill>
    </dxf>
    <dxf>
      <font>
        <name val="Arial"/>
        <charset val="1"/>
        <family val="0"/>
        <b val="1"/>
        <color rgb="FF808080"/>
        <sz val="10"/>
      </font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BDD7EE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4B2E83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70"/>
  </cols>
  <sheetData>
    <row r="2" customFormat="false" ht="15" hidden="false" customHeight="false" outlineLevel="0" collapsed="false">
      <c r="B2" s="1" t="s">
        <v>0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  <c r="G4" s="2"/>
    </row>
    <row r="7" customFormat="false" ht="15" hidden="false" customHeight="false" outlineLevel="0" collapsed="false">
      <c r="B7" s="3" t="s">
        <v>2</v>
      </c>
    </row>
    <row r="8" customFormat="false" ht="31.5" hidden="false" customHeight="true" outlineLevel="0" collapsed="false">
      <c r="B8" s="4" t="s">
        <v>3</v>
      </c>
      <c r="C8" s="5" t="s">
        <v>4</v>
      </c>
    </row>
    <row r="9" customFormat="false" ht="31.5" hidden="false" customHeight="true" outlineLevel="0" collapsed="false">
      <c r="B9" s="4" t="s">
        <v>5</v>
      </c>
      <c r="C9" s="5" t="s">
        <v>6</v>
      </c>
    </row>
    <row r="10" customFormat="false" ht="31.5" hidden="false" customHeight="true" outlineLevel="0" collapsed="false">
      <c r="B10" s="4" t="s">
        <v>7</v>
      </c>
      <c r="C10" s="5" t="s">
        <v>8</v>
      </c>
    </row>
    <row r="11" customFormat="false" ht="31.5" hidden="false" customHeight="true" outlineLevel="0" collapsed="false">
      <c r="B11" s="4" t="s">
        <v>9</v>
      </c>
      <c r="C11" s="5" t="s">
        <v>10</v>
      </c>
    </row>
    <row r="12" customFormat="false" ht="31.5" hidden="false" customHeight="true" outlineLevel="0" collapsed="false">
      <c r="B12" s="4" t="s">
        <v>11</v>
      </c>
      <c r="C12" s="5" t="s">
        <v>12</v>
      </c>
    </row>
    <row r="14" customFormat="false" ht="31.5" hidden="false" customHeight="true" outlineLevel="0" collapsed="false">
      <c r="B14" s="4" t="s">
        <v>13</v>
      </c>
      <c r="C14" s="5" t="s">
        <v>14</v>
      </c>
    </row>
  </sheetData>
  <mergeCells count="2">
    <mergeCell ref="B2:G3"/>
    <mergeCell ref="B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25.5" hidden="false" customHeight="true" outlineLevel="0" collapsed="false">
      <c r="A1" s="6" t="s">
        <v>15</v>
      </c>
      <c r="B1" s="6"/>
      <c r="C1" s="6"/>
      <c r="D1" s="6"/>
      <c r="E1" s="6"/>
      <c r="F1" s="6"/>
      <c r="G1" s="6"/>
    </row>
    <row r="2" customFormat="false" ht="18" hidden="false" customHeight="true" outlineLevel="0" collapsed="false">
      <c r="A2" s="7" t="s">
        <v>16</v>
      </c>
      <c r="B2" s="7"/>
      <c r="C2" s="7"/>
      <c r="D2" s="7"/>
      <c r="E2" s="7"/>
      <c r="F2" s="7"/>
      <c r="G2" s="7"/>
    </row>
    <row r="3" customFormat="false" ht="33.75" hidden="false" customHeight="true" outlineLevel="0" collapsed="false">
      <c r="A3" s="8" t="s">
        <v>17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22</v>
      </c>
      <c r="G3" s="8" t="s">
        <v>23</v>
      </c>
    </row>
    <row r="4" customFormat="false" ht="18" hidden="false" customHeight="true" outlineLevel="0" collapsed="false">
      <c r="A4" s="9" t="n">
        <v>1</v>
      </c>
      <c r="B4" s="9" t="s">
        <v>24</v>
      </c>
      <c r="C4" s="10" t="s">
        <v>25</v>
      </c>
      <c r="D4" s="9" t="s">
        <v>26</v>
      </c>
      <c r="E4" s="9" t="s">
        <v>27</v>
      </c>
      <c r="F4" s="9" t="s">
        <v>28</v>
      </c>
      <c r="G4" s="9" t="s">
        <v>29</v>
      </c>
    </row>
    <row r="5" customFormat="false" ht="18" hidden="false" customHeight="true" outlineLevel="0" collapsed="false">
      <c r="A5" s="9" t="n">
        <v>2</v>
      </c>
      <c r="B5" s="9" t="s">
        <v>30</v>
      </c>
      <c r="C5" s="10" t="s">
        <v>31</v>
      </c>
      <c r="D5" s="9" t="s">
        <v>32</v>
      </c>
      <c r="E5" s="9" t="s">
        <v>33</v>
      </c>
      <c r="F5" s="9" t="s">
        <v>28</v>
      </c>
      <c r="G5" s="9" t="s">
        <v>34</v>
      </c>
    </row>
    <row r="6" customFormat="false" ht="18" hidden="false" customHeight="true" outlineLevel="0" collapsed="false">
      <c r="A6" s="9" t="n">
        <v>3</v>
      </c>
      <c r="B6" s="9" t="s">
        <v>35</v>
      </c>
      <c r="C6" s="10" t="s">
        <v>36</v>
      </c>
      <c r="D6" s="9" t="s">
        <v>37</v>
      </c>
      <c r="E6" s="9" t="s">
        <v>38</v>
      </c>
      <c r="F6" s="9" t="s">
        <v>28</v>
      </c>
      <c r="G6" s="9" t="s">
        <v>39</v>
      </c>
    </row>
    <row r="7" customFormat="false" ht="18" hidden="false" customHeight="true" outlineLevel="0" collapsed="false">
      <c r="A7" s="9" t="n">
        <v>4</v>
      </c>
      <c r="B7" s="9" t="s">
        <v>40</v>
      </c>
      <c r="C7" s="10" t="s">
        <v>41</v>
      </c>
      <c r="D7" s="9" t="s">
        <v>37</v>
      </c>
      <c r="E7" s="9" t="s">
        <v>42</v>
      </c>
      <c r="F7" s="9" t="s">
        <v>28</v>
      </c>
      <c r="G7" s="9" t="s">
        <v>43</v>
      </c>
    </row>
    <row r="8" customFormat="false" ht="18" hidden="false" customHeight="true" outlineLevel="0" collapsed="false">
      <c r="A8" s="9" t="n">
        <v>5</v>
      </c>
      <c r="B8" s="9" t="s">
        <v>44</v>
      </c>
      <c r="C8" s="10" t="s">
        <v>45</v>
      </c>
      <c r="D8" s="9" t="s">
        <v>26</v>
      </c>
      <c r="E8" s="9" t="s">
        <v>33</v>
      </c>
      <c r="F8" s="9" t="s">
        <v>28</v>
      </c>
      <c r="G8" s="9" t="s">
        <v>46</v>
      </c>
    </row>
    <row r="9" customFormat="false" ht="18" hidden="false" customHeight="true" outlineLevel="0" collapsed="false">
      <c r="A9" s="9" t="n">
        <v>6</v>
      </c>
      <c r="B9" s="9" t="s">
        <v>47</v>
      </c>
      <c r="C9" s="10" t="s">
        <v>48</v>
      </c>
      <c r="D9" s="9" t="s">
        <v>26</v>
      </c>
      <c r="E9" s="9" t="s">
        <v>49</v>
      </c>
      <c r="F9" s="9" t="s">
        <v>28</v>
      </c>
      <c r="G9" s="9" t="s">
        <v>50</v>
      </c>
    </row>
    <row r="10" customFormat="false" ht="18" hidden="false" customHeight="true" outlineLevel="0" collapsed="false">
      <c r="A10" s="9" t="n">
        <v>7</v>
      </c>
      <c r="B10" s="9" t="s">
        <v>51</v>
      </c>
      <c r="C10" s="10" t="s">
        <v>52</v>
      </c>
      <c r="D10" s="9" t="s">
        <v>26</v>
      </c>
      <c r="E10" s="9" t="s">
        <v>53</v>
      </c>
      <c r="F10" s="9" t="s">
        <v>28</v>
      </c>
      <c r="G10" s="9" t="s">
        <v>54</v>
      </c>
    </row>
    <row r="11" customFormat="false" ht="18" hidden="false" customHeight="true" outlineLevel="0" collapsed="false">
      <c r="A11" s="9" t="n">
        <v>8</v>
      </c>
      <c r="B11" s="9" t="s">
        <v>55</v>
      </c>
      <c r="C11" s="10" t="s">
        <v>56</v>
      </c>
      <c r="D11" s="9" t="s">
        <v>32</v>
      </c>
      <c r="E11" s="9" t="s">
        <v>53</v>
      </c>
      <c r="F11" s="9" t="s">
        <v>28</v>
      </c>
      <c r="G11" s="9" t="s">
        <v>57</v>
      </c>
    </row>
    <row r="12" customFormat="false" ht="18" hidden="false" customHeight="true" outlineLevel="0" collapsed="false">
      <c r="A12" s="9" t="n">
        <v>9</v>
      </c>
      <c r="B12" s="9" t="s">
        <v>58</v>
      </c>
      <c r="C12" s="10" t="s">
        <v>59</v>
      </c>
      <c r="D12" s="9" t="s">
        <v>32</v>
      </c>
      <c r="E12" s="9" t="s">
        <v>53</v>
      </c>
      <c r="F12" s="9" t="s">
        <v>28</v>
      </c>
      <c r="G12" s="9" t="s">
        <v>60</v>
      </c>
    </row>
    <row r="13" customFormat="false" ht="18" hidden="false" customHeight="true" outlineLevel="0" collapsed="false">
      <c r="A13" s="9" t="n">
        <v>10</v>
      </c>
      <c r="B13" s="9" t="s">
        <v>61</v>
      </c>
      <c r="C13" s="10" t="s">
        <v>62</v>
      </c>
      <c r="D13" s="9" t="s">
        <v>63</v>
      </c>
      <c r="E13" s="9" t="s">
        <v>33</v>
      </c>
      <c r="F13" s="9" t="s">
        <v>28</v>
      </c>
      <c r="G13" s="9" t="s">
        <v>64</v>
      </c>
    </row>
    <row r="14" customFormat="false" ht="18" hidden="false" customHeight="true" outlineLevel="0" collapsed="false">
      <c r="A14" s="9" t="n">
        <v>11</v>
      </c>
      <c r="B14" s="9" t="s">
        <v>65</v>
      </c>
      <c r="C14" s="10" t="s">
        <v>66</v>
      </c>
      <c r="D14" s="9" t="s">
        <v>63</v>
      </c>
      <c r="E14" s="9" t="s">
        <v>49</v>
      </c>
      <c r="F14" s="9" t="s">
        <v>28</v>
      </c>
      <c r="G14" s="9" t="s">
        <v>67</v>
      </c>
    </row>
    <row r="15" customFormat="false" ht="18" hidden="false" customHeight="true" outlineLevel="0" collapsed="false">
      <c r="A15" s="9" t="n">
        <v>12</v>
      </c>
      <c r="B15" s="9" t="s">
        <v>68</v>
      </c>
      <c r="C15" s="10" t="s">
        <v>69</v>
      </c>
      <c r="D15" s="9" t="s">
        <v>70</v>
      </c>
      <c r="E15" s="9" t="s">
        <v>33</v>
      </c>
      <c r="F15" s="9" t="s">
        <v>28</v>
      </c>
      <c r="G15" s="9" t="s">
        <v>71</v>
      </c>
    </row>
    <row r="16" customFormat="false" ht="18" hidden="false" customHeight="true" outlineLevel="0" collapsed="false">
      <c r="A16" s="9" t="n">
        <v>13</v>
      </c>
      <c r="B16" s="9" t="s">
        <v>72</v>
      </c>
      <c r="C16" s="10" t="s">
        <v>73</v>
      </c>
      <c r="D16" s="9" t="s">
        <v>70</v>
      </c>
      <c r="E16" s="9" t="s">
        <v>74</v>
      </c>
      <c r="F16" s="9" t="s">
        <v>28</v>
      </c>
      <c r="G16" s="9" t="s">
        <v>75</v>
      </c>
    </row>
    <row r="17" customFormat="false" ht="18" hidden="false" customHeight="true" outlineLevel="0" collapsed="false">
      <c r="A17" s="9" t="n">
        <v>14</v>
      </c>
      <c r="B17" s="9" t="s">
        <v>76</v>
      </c>
      <c r="C17" s="10" t="s">
        <v>77</v>
      </c>
      <c r="D17" s="9" t="s">
        <v>37</v>
      </c>
      <c r="E17" s="9" t="s">
        <v>78</v>
      </c>
      <c r="F17" s="9" t="s">
        <v>28</v>
      </c>
      <c r="G17" s="9" t="s">
        <v>79</v>
      </c>
    </row>
    <row r="18" customFormat="false" ht="18" hidden="false" customHeight="true" outlineLevel="0" collapsed="false">
      <c r="A18" s="9" t="n">
        <v>15</v>
      </c>
      <c r="B18" s="9" t="s">
        <v>80</v>
      </c>
      <c r="C18" s="10" t="s">
        <v>81</v>
      </c>
      <c r="D18" s="9" t="s">
        <v>37</v>
      </c>
      <c r="E18" s="9" t="s">
        <v>78</v>
      </c>
      <c r="F18" s="9" t="s">
        <v>28</v>
      </c>
      <c r="G18" s="9" t="s">
        <v>82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6" min="4" style="0" width="16"/>
    <col collapsed="false" customWidth="true" hidden="false" outlineLevel="0" max="7" min="7" style="0" width="14"/>
  </cols>
  <sheetData>
    <row r="1" customFormat="false" ht="25.5" hidden="false" customHeight="true" outlineLevel="0" collapsed="false">
      <c r="A1" s="6" t="s">
        <v>83</v>
      </c>
      <c r="B1" s="6"/>
      <c r="C1" s="6"/>
      <c r="D1" s="6"/>
      <c r="E1" s="6"/>
      <c r="F1" s="6"/>
      <c r="G1" s="6"/>
    </row>
    <row r="2" customFormat="false" ht="18" hidden="false" customHeight="true" outlineLevel="0" collapsed="false">
      <c r="A2" s="7" t="s">
        <v>84</v>
      </c>
      <c r="B2" s="7"/>
      <c r="C2" s="7"/>
      <c r="D2" s="7"/>
      <c r="E2" s="7"/>
      <c r="F2" s="7"/>
      <c r="G2" s="7"/>
    </row>
    <row r="3" customFormat="false" ht="33.75" hidden="false" customHeight="true" outlineLevel="0" collapsed="false">
      <c r="A3" s="8" t="s">
        <v>85</v>
      </c>
      <c r="B3" s="8" t="s">
        <v>86</v>
      </c>
      <c r="C3" s="8" t="s">
        <v>87</v>
      </c>
      <c r="D3" s="8" t="s">
        <v>88</v>
      </c>
      <c r="E3" s="8" t="s">
        <v>89</v>
      </c>
      <c r="F3" s="8" t="s">
        <v>90</v>
      </c>
      <c r="G3" s="8" t="s">
        <v>91</v>
      </c>
    </row>
    <row r="4" customFormat="false" ht="15" hidden="false" customHeight="false" outlineLevel="0" collapsed="false">
      <c r="A4" s="10" t="s">
        <v>28</v>
      </c>
      <c r="B4" s="9" t="s">
        <v>92</v>
      </c>
      <c r="C4" s="9" t="s">
        <v>93</v>
      </c>
      <c r="D4" s="9" t="s">
        <v>94</v>
      </c>
      <c r="E4" s="9" t="s">
        <v>95</v>
      </c>
      <c r="F4" s="11" t="n">
        <f aca="false">(TIMEVALUE(C4)-TIMEVALUE(B4))*24-(TIMEVALUE(E4)-TIMEVALUE(D4))*24</f>
        <v>8</v>
      </c>
      <c r="G4" s="11" t="n">
        <v>1</v>
      </c>
    </row>
    <row r="5" customFormat="false" ht="15" hidden="false" customHeight="false" outlineLevel="0" collapsed="false">
      <c r="A5" s="10" t="s">
        <v>96</v>
      </c>
      <c r="B5" s="9" t="s">
        <v>97</v>
      </c>
      <c r="C5" s="9" t="s">
        <v>98</v>
      </c>
      <c r="D5" s="9"/>
      <c r="E5" s="9"/>
      <c r="F5" s="11" t="n">
        <f aca="false">(TIMEVALUE(C5)-TIMEVALUE(B5))*24</f>
        <v>2</v>
      </c>
      <c r="G5" s="11" t="n">
        <v>1.5</v>
      </c>
    </row>
    <row r="6" customFormat="false" ht="15" hidden="false" customHeight="false" outlineLevel="0" collapsed="false">
      <c r="A6" s="10" t="s">
        <v>99</v>
      </c>
      <c r="B6" s="9" t="s">
        <v>97</v>
      </c>
      <c r="C6" s="9" t="s">
        <v>100</v>
      </c>
      <c r="D6" s="9" t="s">
        <v>98</v>
      </c>
      <c r="E6" s="9" t="s">
        <v>101</v>
      </c>
      <c r="F6" s="11" t="n">
        <f aca="false">(TIMEVALUE(C6)-TIMEVALUE(B6))*24-(TIMEVALUE(E6)-TIMEVALUE(D6))*24</f>
        <v>3.5</v>
      </c>
      <c r="G6" s="11" t="n">
        <v>1.5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10"/>
  </cols>
  <sheetData>
    <row r="1" customFormat="false" ht="25.5" hidden="false" customHeight="true" outlineLevel="0" collapsed="false">
      <c r="A1" s="6" t="s">
        <v>102</v>
      </c>
      <c r="B1" s="6"/>
      <c r="C1" s="6"/>
      <c r="D1" s="6"/>
    </row>
    <row r="2" customFormat="false" ht="18" hidden="false" customHeight="true" outlineLevel="0" collapsed="false">
      <c r="A2" s="7" t="s">
        <v>103</v>
      </c>
      <c r="B2" s="7"/>
      <c r="C2" s="7"/>
      <c r="D2" s="7"/>
    </row>
    <row r="3" customFormat="false" ht="33.75" hidden="false" customHeight="true" outlineLevel="0" collapsed="false">
      <c r="A3" s="8" t="s">
        <v>104</v>
      </c>
      <c r="B3" s="8" t="s">
        <v>105</v>
      </c>
      <c r="C3" s="8" t="s">
        <v>106</v>
      </c>
      <c r="D3" s="8" t="s">
        <v>107</v>
      </c>
    </row>
    <row r="4" customFormat="false" ht="15" hidden="false" customHeight="false" outlineLevel="0" collapsed="false">
      <c r="A4" s="10" t="s">
        <v>108</v>
      </c>
      <c r="B4" s="9" t="s">
        <v>109</v>
      </c>
      <c r="C4" s="10" t="s">
        <v>110</v>
      </c>
      <c r="D4" s="12" t="s">
        <v>109</v>
      </c>
    </row>
    <row r="5" customFormat="false" ht="15" hidden="false" customHeight="false" outlineLevel="0" collapsed="false">
      <c r="A5" s="10" t="s">
        <v>111</v>
      </c>
      <c r="B5" s="9" t="s">
        <v>112</v>
      </c>
      <c r="C5" s="10" t="s">
        <v>113</v>
      </c>
      <c r="D5" s="13" t="s">
        <v>112</v>
      </c>
    </row>
    <row r="6" customFormat="false" ht="15" hidden="false" customHeight="false" outlineLevel="0" collapsed="false">
      <c r="A6" s="10" t="s">
        <v>114</v>
      </c>
      <c r="B6" s="9" t="s">
        <v>115</v>
      </c>
      <c r="C6" s="10" t="s">
        <v>116</v>
      </c>
      <c r="D6" s="14" t="s">
        <v>115</v>
      </c>
    </row>
    <row r="7" customFormat="false" ht="15" hidden="false" customHeight="false" outlineLevel="0" collapsed="false">
      <c r="A7" s="10" t="s">
        <v>117</v>
      </c>
      <c r="B7" s="9" t="s">
        <v>118</v>
      </c>
      <c r="C7" s="10" t="s">
        <v>119</v>
      </c>
      <c r="D7" s="15" t="s">
        <v>118</v>
      </c>
    </row>
    <row r="8" customFormat="false" ht="15" hidden="false" customHeight="false" outlineLevel="0" collapsed="false">
      <c r="A8" s="10" t="s">
        <v>120</v>
      </c>
      <c r="B8" s="9" t="s">
        <v>121</v>
      </c>
      <c r="C8" s="10" t="s">
        <v>122</v>
      </c>
      <c r="D8" s="16" t="s">
        <v>121</v>
      </c>
    </row>
    <row r="9" customFormat="false" ht="15" hidden="false" customHeight="false" outlineLevel="0" collapsed="false">
      <c r="A9" s="10" t="s">
        <v>123</v>
      </c>
      <c r="B9" s="9" t="s">
        <v>124</v>
      </c>
      <c r="C9" s="10" t="s">
        <v>125</v>
      </c>
      <c r="D9" s="17" t="s">
        <v>124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4" min="9" style="0" width="11"/>
    <col collapsed="false" customWidth="true" hidden="false" outlineLevel="0" max="15" min="15" style="0" width="10"/>
    <col collapsed="false" customWidth="true" hidden="false" outlineLevel="0" max="16" min="16" style="0" width="16"/>
    <col collapsed="false" customWidth="true" hidden="false" outlineLevel="0" max="17" min="17" style="0" width="9"/>
    <col collapsed="false" customWidth="true" hidden="false" outlineLevel="0" max="18" min="18" style="0" width="22"/>
    <col collapsed="false" customWidth="true" hidden="false" outlineLevel="0" max="19" min="19" style="0" width="20"/>
    <col collapsed="false" customWidth="true" hidden="true" outlineLevel="0" max="20" min="20" style="0" width="16"/>
    <col collapsed="false" customWidth="true" hidden="true" outlineLevel="0" max="21" min="21" style="0" width="10"/>
  </cols>
  <sheetData>
    <row r="1" customFormat="false" ht="25.5" hidden="false" customHeight="true" outlineLevel="0" collapsed="false">
      <c r="A1" s="6" t="s">
        <v>126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8" hidden="false" customHeight="true" outlineLevel="0" collapsed="false">
      <c r="A2" s="7" t="s">
        <v>127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customFormat="false" ht="33.75" hidden="false" customHeight="true" outlineLevel="0" collapsed="false">
      <c r="A3" s="8" t="s">
        <v>17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128</v>
      </c>
      <c r="G3" s="8" t="s">
        <v>129</v>
      </c>
      <c r="H3" s="8" t="s">
        <v>130</v>
      </c>
      <c r="I3" s="8" t="s">
        <v>86</v>
      </c>
      <c r="J3" s="8" t="s">
        <v>87</v>
      </c>
      <c r="K3" s="8" t="s">
        <v>131</v>
      </c>
      <c r="L3" s="8" t="s">
        <v>132</v>
      </c>
      <c r="M3" s="8" t="s">
        <v>133</v>
      </c>
      <c r="N3" s="8" t="s">
        <v>134</v>
      </c>
      <c r="O3" s="8" t="s">
        <v>135</v>
      </c>
      <c r="P3" s="8" t="s">
        <v>136</v>
      </c>
      <c r="Q3" s="8" t="s">
        <v>137</v>
      </c>
      <c r="R3" s="8" t="s">
        <v>138</v>
      </c>
      <c r="S3" s="8" t="s">
        <v>139</v>
      </c>
      <c r="T3" s="8" t="s">
        <v>140</v>
      </c>
      <c r="U3" s="8" t="s">
        <v>141</v>
      </c>
    </row>
    <row r="4" customFormat="false" ht="15.75" hidden="false" customHeight="true" outlineLevel="0" collapsed="false">
      <c r="A4" s="9" t="n">
        <v>1</v>
      </c>
      <c r="B4" s="9" t="s">
        <v>24</v>
      </c>
      <c r="C4" s="10" t="str">
        <f aca="false">VLOOKUP($B4,DM_NHAN_VIEN!$B$4:$F$18,2,FALSE())</f>
        <v>Nguyễn Văn Giám Đốc</v>
      </c>
      <c r="D4" s="9" t="str">
        <f aca="false">VLOOKUP($B4,DM_NHAN_VIEN!$B$4:$F$18,3,FALSE())</f>
        <v>Hành chính</v>
      </c>
      <c r="E4" s="9" t="str">
        <f aca="false">VLOOKUP($B4,DM_NHAN_VIEN!$B$4:$F$18,4,FALSE())</f>
        <v>Giám đốc</v>
      </c>
      <c r="F4" s="18" t="n">
        <v>46174</v>
      </c>
      <c r="G4" s="9" t="str">
        <f aca="false">CHOOSE(WEEKDAY(F4,2),"Thứ Hai","Thứ Ba","Thứ Tư","Thứ Năm","Thứ Sáu","Thứ Bảy","Chủ Nhật")</f>
        <v>Thứ Hai</v>
      </c>
      <c r="H4" s="9" t="str">
        <f aca="false">VLOOKUP($B4,DM_NHAN_VIEN!$B$4:$F$18,5,FALSE())</f>
        <v>Ca Hành Chính</v>
      </c>
      <c r="I4" s="9" t="str">
        <f aca="false">VLOOKUP($H4,DM_CA_LAM!$A$4:$C$6,2,FALSE())</f>
        <v>07:30</v>
      </c>
      <c r="J4" s="9" t="str">
        <f aca="false">VLOOKUP($H4,DM_CA_LAM!$A$4:$C$6,3,FALSE())</f>
        <v>17:30</v>
      </c>
      <c r="K4" s="9" t="s">
        <v>142</v>
      </c>
      <c r="L4" s="9" t="s">
        <v>143</v>
      </c>
      <c r="M4" s="9" t="n">
        <f aca="false">IF($K4="","",MAX(0,ROUND((TIMEVALUE($K4)-TIMEVALUE($I4))*1440,0)))</f>
        <v>0</v>
      </c>
      <c r="N4" s="9" t="n">
        <f aca="false">IF($L4="","",MAX(0,ROUND((TIMEVALUE($J4)-TIMEVALUE($L4))*1440,0)))</f>
        <v>0</v>
      </c>
      <c r="O4" s="9" t="n">
        <f aca="false">IF(OR($K4="",$L4=""),0,ROUND(VLOOKUP($H4,DM_CA_LAM!$A$4:$F$6,6,FALSE())-$M4/60-$N4/60,2))</f>
        <v>8</v>
      </c>
      <c r="P4" s="9" t="s">
        <v>108</v>
      </c>
      <c r="Q4" s="9" t="n">
        <v>0</v>
      </c>
      <c r="R4" s="10"/>
      <c r="S4" s="10"/>
      <c r="T4" s="9" t="str">
        <f aca="false">$B4&amp;"_"&amp;TEXT($F4,"yyyymmdd")</f>
        <v>NV002_20260601</v>
      </c>
      <c r="U4" s="9" t="str">
        <f aca="false">VLOOKUP($P4,DM_TRANG_THAI!$A$4:$B$9,2,FALSE())</f>
        <v>P</v>
      </c>
    </row>
    <row r="5" customFormat="false" ht="15.75" hidden="false" customHeight="true" outlineLevel="0" collapsed="false">
      <c r="A5" s="9" t="n">
        <v>2</v>
      </c>
      <c r="B5" s="9" t="s">
        <v>30</v>
      </c>
      <c r="C5" s="10" t="str">
        <f aca="false">VLOOKUP($B5,DM_NHAN_VIEN!$B$4:$F$18,2,FALSE())</f>
        <v>Trần Thị Nhân Sự</v>
      </c>
      <c r="D5" s="9" t="str">
        <f aca="false">VLOOKUP($B5,DM_NHAN_VIEN!$B$4:$F$18,3,FALSE())</f>
        <v>Nhân sự</v>
      </c>
      <c r="E5" s="9" t="str">
        <f aca="false">VLOOKUP($B5,DM_NHAN_VIEN!$B$4:$F$18,4,FALSE())</f>
        <v>Trưởng phòng</v>
      </c>
      <c r="F5" s="18" t="n">
        <v>46174</v>
      </c>
      <c r="G5" s="9" t="str">
        <f aca="false">CHOOSE(WEEKDAY(F5,2),"Thứ Hai","Thứ Ba","Thứ Tư","Thứ Năm","Thứ Sáu","Thứ Bảy","Chủ Nhật")</f>
        <v>Thứ Hai</v>
      </c>
      <c r="H5" s="9" t="str">
        <f aca="false">VLOOKUP($B5,DM_NHAN_VIEN!$B$4:$F$18,5,FALSE())</f>
        <v>Ca Hành Chính</v>
      </c>
      <c r="I5" s="9" t="str">
        <f aca="false">VLOOKUP($H5,DM_CA_LAM!$A$4:$C$6,2,FALSE())</f>
        <v>07:30</v>
      </c>
      <c r="J5" s="9" t="str">
        <f aca="false">VLOOKUP($H5,DM_CA_LAM!$A$4:$C$6,3,FALSE())</f>
        <v>17:30</v>
      </c>
      <c r="K5" s="9" t="s">
        <v>142</v>
      </c>
      <c r="L5" s="9" t="s">
        <v>144</v>
      </c>
      <c r="M5" s="9" t="n">
        <f aca="false">IF($K5="","",MAX(0,ROUND((TIMEVALUE($K5)-TIMEVALUE($I5))*1440,0)))</f>
        <v>0</v>
      </c>
      <c r="N5" s="9" t="n">
        <f aca="false">IF($L5="","",MAX(0,ROUND((TIMEVALUE($J5)-TIMEVALUE($L5))*1440,0)))</f>
        <v>0</v>
      </c>
      <c r="O5" s="9" t="n">
        <f aca="false">IF(OR($K5="",$L5=""),0,ROUND(VLOOKUP($H5,DM_CA_LAM!$A$4:$F$6,6,FALSE())-$M5/60-$N5/60,2))</f>
        <v>8</v>
      </c>
      <c r="P5" s="9" t="s">
        <v>108</v>
      </c>
      <c r="Q5" s="9" t="n">
        <v>0</v>
      </c>
      <c r="R5" s="10"/>
      <c r="S5" s="10"/>
      <c r="T5" s="9" t="str">
        <f aca="false">$B5&amp;"_"&amp;TEXT($F5,"yyyymmdd")</f>
        <v>NV003_20260601</v>
      </c>
      <c r="U5" s="9" t="str">
        <f aca="false">VLOOKUP($P5,DM_TRANG_THAI!$A$4:$B$9,2,FALSE())</f>
        <v>P</v>
      </c>
    </row>
    <row r="6" customFormat="false" ht="15.75" hidden="false" customHeight="true" outlineLevel="0" collapsed="false">
      <c r="A6" s="9" t="n">
        <v>3</v>
      </c>
      <c r="B6" s="9" t="s">
        <v>35</v>
      </c>
      <c r="C6" s="10" t="str">
        <f aca="false">VLOOKUP($B6,DM_NHAN_VIEN!$B$4:$F$18,2,FALSE())</f>
        <v>Lê Văn Quản Đốc</v>
      </c>
      <c r="D6" s="9" t="str">
        <f aca="false">VLOOKUP($B6,DM_NHAN_VIEN!$B$4:$F$18,3,FALSE())</f>
        <v>Xưởng sản xuất</v>
      </c>
      <c r="E6" s="9" t="str">
        <f aca="false">VLOOKUP($B6,DM_NHAN_VIEN!$B$4:$F$18,4,FALSE())</f>
        <v>Quản đốc</v>
      </c>
      <c r="F6" s="18" t="n">
        <v>46174</v>
      </c>
      <c r="G6" s="9" t="str">
        <f aca="false">CHOOSE(WEEKDAY(F6,2),"Thứ Hai","Thứ Ba","Thứ Tư","Thứ Năm","Thứ Sáu","Thứ Bảy","Chủ Nhật")</f>
        <v>Thứ Hai</v>
      </c>
      <c r="H6" s="9" t="str">
        <f aca="false">VLOOKUP($B6,DM_NHAN_VIEN!$B$4:$F$18,5,FALSE())</f>
        <v>Ca Hành Chính</v>
      </c>
      <c r="I6" s="9" t="str">
        <f aca="false">VLOOKUP($H6,DM_CA_LAM!$A$4:$C$6,2,FALSE())</f>
        <v>07:30</v>
      </c>
      <c r="J6" s="9" t="str">
        <f aca="false">VLOOKUP($H6,DM_CA_LAM!$A$4:$C$6,3,FALSE())</f>
        <v>17:30</v>
      </c>
      <c r="K6" s="9" t="s">
        <v>145</v>
      </c>
      <c r="L6" s="9" t="s">
        <v>146</v>
      </c>
      <c r="M6" s="9" t="n">
        <f aca="false">IF($K6="","",MAX(0,ROUND((TIMEVALUE($K6)-TIMEVALUE($I6))*1440,0)))</f>
        <v>0</v>
      </c>
      <c r="N6" s="9" t="n">
        <f aca="false">IF($L6="","",MAX(0,ROUND((TIMEVALUE($J6)-TIMEVALUE($L6))*1440,0)))</f>
        <v>0</v>
      </c>
      <c r="O6" s="9" t="n">
        <f aca="false">IF(OR($K6="",$L6=""),0,ROUND(VLOOKUP($H6,DM_CA_LAM!$A$4:$F$6,6,FALSE())-$M6/60-$N6/60,2))</f>
        <v>8</v>
      </c>
      <c r="P6" s="9" t="s">
        <v>108</v>
      </c>
      <c r="Q6" s="9" t="n">
        <v>0</v>
      </c>
      <c r="R6" s="10"/>
      <c r="S6" s="10"/>
      <c r="T6" s="9" t="str">
        <f aca="false">$B6&amp;"_"&amp;TEXT($F6,"yyyymmdd")</f>
        <v>NV004_20260601</v>
      </c>
      <c r="U6" s="9" t="str">
        <f aca="false">VLOOKUP($P6,DM_TRANG_THAI!$A$4:$B$9,2,FALSE())</f>
        <v>P</v>
      </c>
    </row>
    <row r="7" customFormat="false" ht="15.75" hidden="false" customHeight="true" outlineLevel="0" collapsed="false">
      <c r="A7" s="9" t="n">
        <v>4</v>
      </c>
      <c r="B7" s="9" t="s">
        <v>40</v>
      </c>
      <c r="C7" s="10" t="str">
        <f aca="false">VLOOKUP($B7,DM_NHAN_VIEN!$B$4:$F$18,2,FALSE())</f>
        <v>Phạm Công Nhân</v>
      </c>
      <c r="D7" s="9" t="str">
        <f aca="false">VLOOKUP($B7,DM_NHAN_VIEN!$B$4:$F$18,3,FALSE())</f>
        <v>Xưởng sản xuất</v>
      </c>
      <c r="E7" s="9" t="str">
        <f aca="false">VLOOKUP($B7,DM_NHAN_VIEN!$B$4:$F$18,4,FALSE())</f>
        <v>Công nhân</v>
      </c>
      <c r="F7" s="18" t="n">
        <v>46174</v>
      </c>
      <c r="G7" s="9" t="str">
        <f aca="false">CHOOSE(WEEKDAY(F7,2),"Thứ Hai","Thứ Ba","Thứ Tư","Thứ Năm","Thứ Sáu","Thứ Bảy","Chủ Nhật")</f>
        <v>Thứ Hai</v>
      </c>
      <c r="H7" s="9" t="str">
        <f aca="false">VLOOKUP($B7,DM_NHAN_VIEN!$B$4:$F$18,5,FALSE())</f>
        <v>Ca Hành Chính</v>
      </c>
      <c r="I7" s="9" t="str">
        <f aca="false">VLOOKUP($H7,DM_CA_LAM!$A$4:$C$6,2,FALSE())</f>
        <v>07:30</v>
      </c>
      <c r="J7" s="9" t="str">
        <f aca="false">VLOOKUP($H7,DM_CA_LAM!$A$4:$C$6,3,FALSE())</f>
        <v>17:30</v>
      </c>
      <c r="K7" s="9" t="s">
        <v>147</v>
      </c>
      <c r="L7" s="9" t="s">
        <v>93</v>
      </c>
      <c r="M7" s="9" t="n">
        <f aca="false">IF($K7="","",MAX(0,ROUND((TIMEVALUE($K7)-TIMEVALUE($I7))*1440,0)))</f>
        <v>0</v>
      </c>
      <c r="N7" s="9" t="n">
        <f aca="false">IF($L7="","",MAX(0,ROUND((TIMEVALUE($J7)-TIMEVALUE($L7))*1440,0)))</f>
        <v>0</v>
      </c>
      <c r="O7" s="9" t="n">
        <f aca="false">IF(OR($K7="",$L7=""),0,ROUND(VLOOKUP($H7,DM_CA_LAM!$A$4:$F$6,6,FALSE())-$M7/60-$N7/60,2))</f>
        <v>8</v>
      </c>
      <c r="P7" s="9" t="s">
        <v>108</v>
      </c>
      <c r="Q7" s="9" t="n">
        <v>0</v>
      </c>
      <c r="R7" s="10"/>
      <c r="S7" s="10"/>
      <c r="T7" s="9" t="str">
        <f aca="false">$B7&amp;"_"&amp;TEXT($F7,"yyyymmdd")</f>
        <v>NV005_20260601</v>
      </c>
      <c r="U7" s="9" t="str">
        <f aca="false">VLOOKUP($P7,DM_TRANG_THAI!$A$4:$B$9,2,FALSE())</f>
        <v>P</v>
      </c>
    </row>
    <row r="8" customFormat="false" ht="15.75" hidden="false" customHeight="true" outlineLevel="0" collapsed="false">
      <c r="A8" s="9" t="n">
        <v>5</v>
      </c>
      <c r="B8" s="9" t="s">
        <v>44</v>
      </c>
      <c r="C8" s="10" t="str">
        <f aca="false">VLOOKUP($B8,DM_NHAN_VIEN!$B$4:$F$18,2,FALSE())</f>
        <v>Đỗ Thị Hà</v>
      </c>
      <c r="D8" s="9" t="str">
        <f aca="false">VLOOKUP($B8,DM_NHAN_VIEN!$B$4:$F$18,3,FALSE())</f>
        <v>Hành chính</v>
      </c>
      <c r="E8" s="9" t="str">
        <f aca="false">VLOOKUP($B8,DM_NHAN_VIEN!$B$4:$F$18,4,FALSE())</f>
        <v>Trưởng phòng</v>
      </c>
      <c r="F8" s="18" t="n">
        <v>46174</v>
      </c>
      <c r="G8" s="9" t="str">
        <f aca="false">CHOOSE(WEEKDAY(F8,2),"Thứ Hai","Thứ Ba","Thứ Tư","Thứ Năm","Thứ Sáu","Thứ Bảy","Chủ Nhật")</f>
        <v>Thứ Hai</v>
      </c>
      <c r="H8" s="9" t="str">
        <f aca="false">VLOOKUP($B8,DM_NHAN_VIEN!$B$4:$F$18,5,FALSE())</f>
        <v>Ca Hành Chính</v>
      </c>
      <c r="I8" s="9" t="str">
        <f aca="false">VLOOKUP($H8,DM_CA_LAM!$A$4:$C$6,2,FALSE())</f>
        <v>07:30</v>
      </c>
      <c r="J8" s="9" t="str">
        <f aca="false">VLOOKUP($H8,DM_CA_LAM!$A$4:$C$6,3,FALSE())</f>
        <v>17:30</v>
      </c>
      <c r="K8" s="9" t="s">
        <v>148</v>
      </c>
      <c r="L8" s="9" t="s">
        <v>149</v>
      </c>
      <c r="M8" s="9" t="n">
        <f aca="false">IF($K8="","",MAX(0,ROUND((TIMEVALUE($K8)-TIMEVALUE($I8))*1440,0)))</f>
        <v>0</v>
      </c>
      <c r="N8" s="9" t="n">
        <f aca="false">IF($L8="","",MAX(0,ROUND((TIMEVALUE($J8)-TIMEVALUE($L8))*1440,0)))</f>
        <v>0</v>
      </c>
      <c r="O8" s="9" t="n">
        <f aca="false">IF(OR($K8="",$L8=""),0,ROUND(VLOOKUP($H8,DM_CA_LAM!$A$4:$F$6,6,FALSE())-$M8/60-$N8/60,2))</f>
        <v>8</v>
      </c>
      <c r="P8" s="9" t="s">
        <v>108</v>
      </c>
      <c r="Q8" s="9" t="n">
        <v>0</v>
      </c>
      <c r="R8" s="10"/>
      <c r="S8" s="10"/>
      <c r="T8" s="9" t="str">
        <f aca="false">$B8&amp;"_"&amp;TEXT($F8,"yyyymmdd")</f>
        <v>NV006_20260601</v>
      </c>
      <c r="U8" s="9" t="str">
        <f aca="false">VLOOKUP($P8,DM_TRANG_THAI!$A$4:$B$9,2,FALSE())</f>
        <v>P</v>
      </c>
    </row>
    <row r="9" customFormat="false" ht="15.75" hidden="false" customHeight="true" outlineLevel="0" collapsed="false">
      <c r="A9" s="9" t="n">
        <v>6</v>
      </c>
      <c r="B9" s="9" t="s">
        <v>47</v>
      </c>
      <c r="C9" s="10" t="str">
        <f aca="false">VLOOKUP($B9,DM_NHAN_VIEN!$B$4:$F$18,2,FALSE())</f>
        <v>Ngô Văn Tài</v>
      </c>
      <c r="D9" s="9" t="str">
        <f aca="false">VLOOKUP($B9,DM_NHAN_VIEN!$B$4:$F$18,3,FALSE())</f>
        <v>Hành chính</v>
      </c>
      <c r="E9" s="9" t="str">
        <f aca="false">VLOOKUP($B9,DM_NHAN_VIEN!$B$4:$F$18,4,FALSE())</f>
        <v>Phó phòng</v>
      </c>
      <c r="F9" s="18" t="n">
        <v>46174</v>
      </c>
      <c r="G9" s="9" t="str">
        <f aca="false">CHOOSE(WEEKDAY(F9,2),"Thứ Hai","Thứ Ba","Thứ Tư","Thứ Năm","Thứ Sáu","Thứ Bảy","Chủ Nhật")</f>
        <v>Thứ Hai</v>
      </c>
      <c r="H9" s="9" t="str">
        <f aca="false">VLOOKUP($B9,DM_NHAN_VIEN!$B$4:$F$18,5,FALSE())</f>
        <v>Ca Hành Chính</v>
      </c>
      <c r="I9" s="9" t="str">
        <f aca="false">VLOOKUP($H9,DM_CA_LAM!$A$4:$C$6,2,FALSE())</f>
        <v>07:30</v>
      </c>
      <c r="J9" s="9" t="str">
        <f aca="false">VLOOKUP($H9,DM_CA_LAM!$A$4:$C$6,3,FALSE())</f>
        <v>17:30</v>
      </c>
      <c r="K9" s="9" t="s">
        <v>150</v>
      </c>
      <c r="L9" s="9" t="s">
        <v>149</v>
      </c>
      <c r="M9" s="9" t="n">
        <f aca="false">IF($K9="","",MAX(0,ROUND((TIMEVALUE($K9)-TIMEVALUE($I9))*1440,0)))</f>
        <v>0</v>
      </c>
      <c r="N9" s="9" t="n">
        <f aca="false">IF($L9="","",MAX(0,ROUND((TIMEVALUE($J9)-TIMEVALUE($L9))*1440,0)))</f>
        <v>0</v>
      </c>
      <c r="O9" s="9" t="n">
        <f aca="false">IF(OR($K9="",$L9=""),0,ROUND(VLOOKUP($H9,DM_CA_LAM!$A$4:$F$6,6,FALSE())-$M9/60-$N9/60,2))</f>
        <v>8</v>
      </c>
      <c r="P9" s="9" t="s">
        <v>108</v>
      </c>
      <c r="Q9" s="9" t="n">
        <v>2.5</v>
      </c>
      <c r="R9" s="10" t="s">
        <v>151</v>
      </c>
      <c r="S9" s="10"/>
      <c r="T9" s="9" t="str">
        <f aca="false">$B9&amp;"_"&amp;TEXT($F9,"yyyymmdd")</f>
        <v>NV007_20260601</v>
      </c>
      <c r="U9" s="9" t="str">
        <f aca="false">VLOOKUP($P9,DM_TRANG_THAI!$A$4:$B$9,2,FALSE())</f>
        <v>P</v>
      </c>
    </row>
    <row r="10" customFormat="false" ht="15.75" hidden="false" customHeight="true" outlineLevel="0" collapsed="false">
      <c r="A10" s="9" t="n">
        <v>7</v>
      </c>
      <c r="B10" s="9" t="s">
        <v>51</v>
      </c>
      <c r="C10" s="10" t="str">
        <f aca="false">VLOOKUP($B10,DM_NHAN_VIEN!$B$4:$F$18,2,FALSE())</f>
        <v>Vũ Thị Nga</v>
      </c>
      <c r="D10" s="9" t="str">
        <f aca="false">VLOOKUP($B10,DM_NHAN_VIEN!$B$4:$F$18,3,FALSE())</f>
        <v>Hành chính</v>
      </c>
      <c r="E10" s="9" t="str">
        <f aca="false">VLOOKUP($B10,DM_NHAN_VIEN!$B$4:$F$18,4,FALSE())</f>
        <v>Chuyên viên</v>
      </c>
      <c r="F10" s="18" t="n">
        <v>46174</v>
      </c>
      <c r="G10" s="9" t="str">
        <f aca="false">CHOOSE(WEEKDAY(F10,2),"Thứ Hai","Thứ Ba","Thứ Tư","Thứ Năm","Thứ Sáu","Thứ Bảy","Chủ Nhật")</f>
        <v>Thứ Hai</v>
      </c>
      <c r="H10" s="9" t="str">
        <f aca="false">VLOOKUP($B10,DM_NHAN_VIEN!$B$4:$F$18,5,FALSE())</f>
        <v>Ca Hành Chính</v>
      </c>
      <c r="I10" s="9" t="str">
        <f aca="false">VLOOKUP($H10,DM_CA_LAM!$A$4:$C$6,2,FALSE())</f>
        <v>07:30</v>
      </c>
      <c r="J10" s="9" t="str">
        <f aca="false">VLOOKUP($H10,DM_CA_LAM!$A$4:$C$6,3,FALSE())</f>
        <v>17:30</v>
      </c>
      <c r="K10" s="9"/>
      <c r="L10" s="9"/>
      <c r="M10" s="9" t="str">
        <f aca="false">IF($K10="","",MAX(0,ROUND((TIMEVALUE($K10)-TIMEVALUE($I10))*1440,0)))</f>
        <v/>
      </c>
      <c r="N10" s="9" t="str">
        <f aca="false">IF($L10="","",MAX(0,ROUND((TIMEVALUE($J10)-TIMEVALUE($L10))*1440,0)))</f>
        <v/>
      </c>
      <c r="O10" s="9" t="n">
        <f aca="false">IF(OR($K10="",$L10=""),0,ROUND(VLOOKUP($H10,DM_CA_LAM!$A$4:$F$6,6,FALSE())-$M10/60-$N10/60,2))</f>
        <v>0</v>
      </c>
      <c r="P10" s="9" t="s">
        <v>117</v>
      </c>
      <c r="Q10" s="9" t="n">
        <v>0</v>
      </c>
      <c r="R10" s="10"/>
      <c r="S10" s="10"/>
      <c r="T10" s="9" t="str">
        <f aca="false">$B10&amp;"_"&amp;TEXT($F10,"yyyymmdd")</f>
        <v>NV008_20260601</v>
      </c>
      <c r="U10" s="9" t="str">
        <f aca="false">VLOOKUP($P10,DM_TRANG_THAI!$A$4:$B$9,2,FALSE())</f>
        <v>NP</v>
      </c>
    </row>
    <row r="11" customFormat="false" ht="15.75" hidden="false" customHeight="true" outlineLevel="0" collapsed="false">
      <c r="A11" s="9" t="n">
        <v>8</v>
      </c>
      <c r="B11" s="9" t="s">
        <v>55</v>
      </c>
      <c r="C11" s="10" t="str">
        <f aca="false">VLOOKUP($B11,DM_NHAN_VIEN!$B$4:$F$18,2,FALSE())</f>
        <v>Đặng Thị Hồng</v>
      </c>
      <c r="D11" s="9" t="str">
        <f aca="false">VLOOKUP($B11,DM_NHAN_VIEN!$B$4:$F$18,3,FALSE())</f>
        <v>Nhân sự</v>
      </c>
      <c r="E11" s="9" t="str">
        <f aca="false">VLOOKUP($B11,DM_NHAN_VIEN!$B$4:$F$18,4,FALSE())</f>
        <v>Chuyên viên</v>
      </c>
      <c r="F11" s="18" t="n">
        <v>46174</v>
      </c>
      <c r="G11" s="9" t="str">
        <f aca="false">CHOOSE(WEEKDAY(F11,2),"Thứ Hai","Thứ Ba","Thứ Tư","Thứ Năm","Thứ Sáu","Thứ Bảy","Chủ Nhật")</f>
        <v>Thứ Hai</v>
      </c>
      <c r="H11" s="9" t="str">
        <f aca="false">VLOOKUP($B11,DM_NHAN_VIEN!$B$4:$F$18,5,FALSE())</f>
        <v>Ca Hành Chính</v>
      </c>
      <c r="I11" s="9" t="str">
        <f aca="false">VLOOKUP($H11,DM_CA_LAM!$A$4:$C$6,2,FALSE())</f>
        <v>07:30</v>
      </c>
      <c r="J11" s="9" t="str">
        <f aca="false">VLOOKUP($H11,DM_CA_LAM!$A$4:$C$6,3,FALSE())</f>
        <v>17:30</v>
      </c>
      <c r="K11" s="9" t="s">
        <v>152</v>
      </c>
      <c r="L11" s="9" t="s">
        <v>153</v>
      </c>
      <c r="M11" s="9" t="n">
        <f aca="false">IF($K11="","",MAX(0,ROUND((TIMEVALUE($K11)-TIMEVALUE($I11))*1440,0)))</f>
        <v>35</v>
      </c>
      <c r="N11" s="9" t="n">
        <f aca="false">IF($L11="","",MAX(0,ROUND((TIMEVALUE($J11)-TIMEVALUE($L11))*1440,0)))</f>
        <v>0</v>
      </c>
      <c r="O11" s="9" t="n">
        <f aca="false">IF(OR($K11="",$L11=""),0,ROUND(VLOOKUP($H11,DM_CA_LAM!$A$4:$F$6,6,FALSE())-$M11/60-$N11/60,2))</f>
        <v>7.42</v>
      </c>
      <c r="P11" s="9" t="s">
        <v>111</v>
      </c>
      <c r="Q11" s="9" t="n">
        <v>0</v>
      </c>
      <c r="R11" s="10"/>
      <c r="S11" s="10" t="s">
        <v>154</v>
      </c>
      <c r="T11" s="9" t="str">
        <f aca="false">$B11&amp;"_"&amp;TEXT($F11,"yyyymmdd")</f>
        <v>NV010_20260601</v>
      </c>
      <c r="U11" s="9" t="str">
        <f aca="false">VLOOKUP($P11,DM_TRANG_THAI!$A$4:$B$9,2,FALSE())</f>
        <v>L</v>
      </c>
    </row>
    <row r="12" customFormat="false" ht="15.75" hidden="false" customHeight="true" outlineLevel="0" collapsed="false">
      <c r="A12" s="9" t="n">
        <v>9</v>
      </c>
      <c r="B12" s="9" t="s">
        <v>58</v>
      </c>
      <c r="C12" s="10" t="str">
        <f aca="false">VLOOKUP($B12,DM_NHAN_VIEN!$B$4:$F$18,2,FALSE())</f>
        <v>Chu Văn Minh</v>
      </c>
      <c r="D12" s="9" t="str">
        <f aca="false">VLOOKUP($B12,DM_NHAN_VIEN!$B$4:$F$18,3,FALSE())</f>
        <v>Nhân sự</v>
      </c>
      <c r="E12" s="9" t="str">
        <f aca="false">VLOOKUP($B12,DM_NHAN_VIEN!$B$4:$F$18,4,FALSE())</f>
        <v>Chuyên viên</v>
      </c>
      <c r="F12" s="18" t="n">
        <v>46174</v>
      </c>
      <c r="G12" s="9" t="str">
        <f aca="false">CHOOSE(WEEKDAY(F12,2),"Thứ Hai","Thứ Ba","Thứ Tư","Thứ Năm","Thứ Sáu","Thứ Bảy","Chủ Nhật")</f>
        <v>Thứ Hai</v>
      </c>
      <c r="H12" s="9" t="str">
        <f aca="false">VLOOKUP($B12,DM_NHAN_VIEN!$B$4:$F$18,5,FALSE())</f>
        <v>Ca Hành Chính</v>
      </c>
      <c r="I12" s="9" t="str">
        <f aca="false">VLOOKUP($H12,DM_CA_LAM!$A$4:$C$6,2,FALSE())</f>
        <v>07:30</v>
      </c>
      <c r="J12" s="9" t="str">
        <f aca="false">VLOOKUP($H12,DM_CA_LAM!$A$4:$C$6,3,FALSE())</f>
        <v>17:30</v>
      </c>
      <c r="K12" s="9" t="s">
        <v>148</v>
      </c>
      <c r="L12" s="9" t="s">
        <v>93</v>
      </c>
      <c r="M12" s="9" t="n">
        <f aca="false">IF($K12="","",MAX(0,ROUND((TIMEVALUE($K12)-TIMEVALUE($I12))*1440,0)))</f>
        <v>0</v>
      </c>
      <c r="N12" s="9" t="n">
        <f aca="false">IF($L12="","",MAX(0,ROUND((TIMEVALUE($J12)-TIMEVALUE($L12))*1440,0)))</f>
        <v>0</v>
      </c>
      <c r="O12" s="9" t="n">
        <f aca="false">IF(OR($K12="",$L12=""),0,ROUND(VLOOKUP($H12,DM_CA_LAM!$A$4:$F$6,6,FALSE())-$M12/60-$N12/60,2))</f>
        <v>8</v>
      </c>
      <c r="P12" s="9" t="s">
        <v>108</v>
      </c>
      <c r="Q12" s="9" t="n">
        <v>0</v>
      </c>
      <c r="R12" s="10"/>
      <c r="S12" s="10"/>
      <c r="T12" s="9" t="str">
        <f aca="false">$B12&amp;"_"&amp;TEXT($F12,"yyyymmdd")</f>
        <v>NV011_20260601</v>
      </c>
      <c r="U12" s="9" t="str">
        <f aca="false">VLOOKUP($P12,DM_TRANG_THAI!$A$4:$B$9,2,FALSE())</f>
        <v>P</v>
      </c>
    </row>
    <row r="13" customFormat="false" ht="15.75" hidden="false" customHeight="true" outlineLevel="0" collapsed="false">
      <c r="A13" s="9" t="n">
        <v>10</v>
      </c>
      <c r="B13" s="9" t="s">
        <v>61</v>
      </c>
      <c r="C13" s="10" t="str">
        <f aca="false">VLOOKUP($B13,DM_NHAN_VIEN!$B$4:$F$18,2,FALSE())</f>
        <v>Phan Thị Khánh</v>
      </c>
      <c r="D13" s="9" t="str">
        <f aca="false">VLOOKUP($B13,DM_NHAN_VIEN!$B$4:$F$18,3,FALSE())</f>
        <v>Kế toán</v>
      </c>
      <c r="E13" s="9" t="str">
        <f aca="false">VLOOKUP($B13,DM_NHAN_VIEN!$B$4:$F$18,4,FALSE())</f>
        <v>Trưởng phòng</v>
      </c>
      <c r="F13" s="18" t="n">
        <v>46174</v>
      </c>
      <c r="G13" s="9" t="str">
        <f aca="false">CHOOSE(WEEKDAY(F13,2),"Thứ Hai","Thứ Ba","Thứ Tư","Thứ Năm","Thứ Sáu","Thứ Bảy","Chủ Nhật")</f>
        <v>Thứ Hai</v>
      </c>
      <c r="H13" s="9" t="str">
        <f aca="false">VLOOKUP($B13,DM_NHAN_VIEN!$B$4:$F$18,5,FALSE())</f>
        <v>Ca Hành Chính</v>
      </c>
      <c r="I13" s="9" t="str">
        <f aca="false">VLOOKUP($H13,DM_CA_LAM!$A$4:$C$6,2,FALSE())</f>
        <v>07:30</v>
      </c>
      <c r="J13" s="9" t="str">
        <f aca="false">VLOOKUP($H13,DM_CA_LAM!$A$4:$C$6,3,FALSE())</f>
        <v>17:30</v>
      </c>
      <c r="K13" s="9" t="s">
        <v>155</v>
      </c>
      <c r="L13" s="9" t="s">
        <v>146</v>
      </c>
      <c r="M13" s="9" t="n">
        <f aca="false">IF($K13="","",MAX(0,ROUND((TIMEVALUE($K13)-TIMEVALUE($I13))*1440,0)))</f>
        <v>32</v>
      </c>
      <c r="N13" s="9" t="n">
        <f aca="false">IF($L13="","",MAX(0,ROUND((TIMEVALUE($J13)-TIMEVALUE($L13))*1440,0)))</f>
        <v>0</v>
      </c>
      <c r="O13" s="9" t="n">
        <f aca="false">IF(OR($K13="",$L13=""),0,ROUND(VLOOKUP($H13,DM_CA_LAM!$A$4:$F$6,6,FALSE())-$M13/60-$N13/60,2))</f>
        <v>7.47</v>
      </c>
      <c r="P13" s="9" t="s">
        <v>111</v>
      </c>
      <c r="Q13" s="9" t="n">
        <v>0</v>
      </c>
      <c r="R13" s="10"/>
      <c r="S13" s="10"/>
      <c r="T13" s="9" t="str">
        <f aca="false">$B13&amp;"_"&amp;TEXT($F13,"yyyymmdd")</f>
        <v>NV014_20260601</v>
      </c>
      <c r="U13" s="9" t="str">
        <f aca="false">VLOOKUP($P13,DM_TRANG_THAI!$A$4:$B$9,2,FALSE())</f>
        <v>L</v>
      </c>
    </row>
    <row r="14" customFormat="false" ht="15.75" hidden="false" customHeight="true" outlineLevel="0" collapsed="false">
      <c r="A14" s="9" t="n">
        <v>11</v>
      </c>
      <c r="B14" s="9" t="s">
        <v>65</v>
      </c>
      <c r="C14" s="10" t="str">
        <f aca="false">VLOOKUP($B14,DM_NHAN_VIEN!$B$4:$F$18,2,FALSE())</f>
        <v>Trịnh Văn Hùng</v>
      </c>
      <c r="D14" s="9" t="str">
        <f aca="false">VLOOKUP($B14,DM_NHAN_VIEN!$B$4:$F$18,3,FALSE())</f>
        <v>Kế toán</v>
      </c>
      <c r="E14" s="9" t="str">
        <f aca="false">VLOOKUP($B14,DM_NHAN_VIEN!$B$4:$F$18,4,FALSE())</f>
        <v>Phó phòng</v>
      </c>
      <c r="F14" s="18" t="n">
        <v>46174</v>
      </c>
      <c r="G14" s="9" t="str">
        <f aca="false">CHOOSE(WEEKDAY(F14,2),"Thứ Hai","Thứ Ba","Thứ Tư","Thứ Năm","Thứ Sáu","Thứ Bảy","Chủ Nhật")</f>
        <v>Thứ Hai</v>
      </c>
      <c r="H14" s="9" t="str">
        <f aca="false">VLOOKUP($B14,DM_NHAN_VIEN!$B$4:$F$18,5,FALSE())</f>
        <v>Ca Hành Chính</v>
      </c>
      <c r="I14" s="9" t="str">
        <f aca="false">VLOOKUP($H14,DM_CA_LAM!$A$4:$C$6,2,FALSE())</f>
        <v>07:30</v>
      </c>
      <c r="J14" s="9" t="str">
        <f aca="false">VLOOKUP($H14,DM_CA_LAM!$A$4:$C$6,3,FALSE())</f>
        <v>17:30</v>
      </c>
      <c r="K14" s="9" t="s">
        <v>156</v>
      </c>
      <c r="L14" s="9" t="s">
        <v>157</v>
      </c>
      <c r="M14" s="9" t="n">
        <f aca="false">IF($K14="","",MAX(0,ROUND((TIMEVALUE($K14)-TIMEVALUE($I14))*1440,0)))</f>
        <v>0</v>
      </c>
      <c r="N14" s="9" t="n">
        <f aca="false">IF($L14="","",MAX(0,ROUND((TIMEVALUE($J14)-TIMEVALUE($L14))*1440,0)))</f>
        <v>0</v>
      </c>
      <c r="O14" s="9" t="n">
        <f aca="false">IF(OR($K14="",$L14=""),0,ROUND(VLOOKUP($H14,DM_CA_LAM!$A$4:$F$6,6,FALSE())-$M14/60-$N14/60,2))</f>
        <v>8</v>
      </c>
      <c r="P14" s="9" t="s">
        <v>108</v>
      </c>
      <c r="Q14" s="9" t="n">
        <v>0</v>
      </c>
      <c r="R14" s="10"/>
      <c r="S14" s="10"/>
      <c r="T14" s="9" t="str">
        <f aca="false">$B14&amp;"_"&amp;TEXT($F14,"yyyymmdd")</f>
        <v>NV015_20260601</v>
      </c>
      <c r="U14" s="9" t="str">
        <f aca="false">VLOOKUP($P14,DM_TRANG_THAI!$A$4:$B$9,2,FALSE())</f>
        <v>P</v>
      </c>
    </row>
    <row r="15" customFormat="false" ht="15.75" hidden="false" customHeight="true" outlineLevel="0" collapsed="false">
      <c r="A15" s="9" t="n">
        <v>12</v>
      </c>
      <c r="B15" s="9" t="s">
        <v>68</v>
      </c>
      <c r="C15" s="10" t="str">
        <f aca="false">VLOOKUP($B15,DM_NHAN_VIEN!$B$4:$F$18,2,FALSE())</f>
        <v>Hoàng Văn Lộc</v>
      </c>
      <c r="D15" s="9" t="str">
        <f aca="false">VLOOKUP($B15,DM_NHAN_VIEN!$B$4:$F$18,3,FALSE())</f>
        <v>Kinh doanh</v>
      </c>
      <c r="E15" s="9" t="str">
        <f aca="false">VLOOKUP($B15,DM_NHAN_VIEN!$B$4:$F$18,4,FALSE())</f>
        <v>Trưởng phòng</v>
      </c>
      <c r="F15" s="18" t="n">
        <v>46174</v>
      </c>
      <c r="G15" s="9" t="str">
        <f aca="false">CHOOSE(WEEKDAY(F15,2),"Thứ Hai","Thứ Ba","Thứ Tư","Thứ Năm","Thứ Sáu","Thứ Bảy","Chủ Nhật")</f>
        <v>Thứ Hai</v>
      </c>
      <c r="H15" s="9" t="str">
        <f aca="false">VLOOKUP($B15,DM_NHAN_VIEN!$B$4:$F$18,5,FALSE())</f>
        <v>Ca Hành Chính</v>
      </c>
      <c r="I15" s="9" t="str">
        <f aca="false">VLOOKUP($H15,DM_CA_LAM!$A$4:$C$6,2,FALSE())</f>
        <v>07:30</v>
      </c>
      <c r="J15" s="9" t="str">
        <f aca="false">VLOOKUP($H15,DM_CA_LAM!$A$4:$C$6,3,FALSE())</f>
        <v>17:30</v>
      </c>
      <c r="K15" s="9" t="s">
        <v>158</v>
      </c>
      <c r="L15" s="9" t="s">
        <v>93</v>
      </c>
      <c r="M15" s="9" t="n">
        <f aca="false">IF($K15="","",MAX(0,ROUND((TIMEVALUE($K15)-TIMEVALUE($I15))*1440,0)))</f>
        <v>0</v>
      </c>
      <c r="N15" s="9" t="n">
        <f aca="false">IF($L15="","",MAX(0,ROUND((TIMEVALUE($J15)-TIMEVALUE($L15))*1440,0)))</f>
        <v>0</v>
      </c>
      <c r="O15" s="9" t="n">
        <f aca="false">IF(OR($K15="",$L15=""),0,ROUND(VLOOKUP($H15,DM_CA_LAM!$A$4:$F$6,6,FALSE())-$M15/60-$N15/60,2))</f>
        <v>8</v>
      </c>
      <c r="P15" s="9" t="s">
        <v>108</v>
      </c>
      <c r="Q15" s="9" t="n">
        <v>0</v>
      </c>
      <c r="R15" s="10"/>
      <c r="S15" s="10"/>
      <c r="T15" s="9" t="str">
        <f aca="false">$B15&amp;"_"&amp;TEXT($F15,"yyyymmdd")</f>
        <v>NV019_20260601</v>
      </c>
      <c r="U15" s="9" t="str">
        <f aca="false">VLOOKUP($P15,DM_TRANG_THAI!$A$4:$B$9,2,FALSE())</f>
        <v>P</v>
      </c>
    </row>
    <row r="16" customFormat="false" ht="15.75" hidden="false" customHeight="true" outlineLevel="0" collapsed="false">
      <c r="A16" s="9" t="n">
        <v>13</v>
      </c>
      <c r="B16" s="9" t="s">
        <v>72</v>
      </c>
      <c r="C16" s="10" t="str">
        <f aca="false">VLOOKUP($B16,DM_NHAN_VIEN!$B$4:$F$18,2,FALSE())</f>
        <v>Nguyễn Văn Phú</v>
      </c>
      <c r="D16" s="9" t="str">
        <f aca="false">VLOOKUP($B16,DM_NHAN_VIEN!$B$4:$F$18,3,FALSE())</f>
        <v>Kinh doanh</v>
      </c>
      <c r="E16" s="9" t="str">
        <f aca="false">VLOOKUP($B16,DM_NHAN_VIEN!$B$4:$F$18,4,FALSE())</f>
        <v>Nhân viên</v>
      </c>
      <c r="F16" s="18" t="n">
        <v>46174</v>
      </c>
      <c r="G16" s="9" t="str">
        <f aca="false">CHOOSE(WEEKDAY(F16,2),"Thứ Hai","Thứ Ba","Thứ Tư","Thứ Năm","Thứ Sáu","Thứ Bảy","Chủ Nhật")</f>
        <v>Thứ Hai</v>
      </c>
      <c r="H16" s="9" t="str">
        <f aca="false">VLOOKUP($B16,DM_NHAN_VIEN!$B$4:$F$18,5,FALSE())</f>
        <v>Ca Hành Chính</v>
      </c>
      <c r="I16" s="9" t="str">
        <f aca="false">VLOOKUP($H16,DM_CA_LAM!$A$4:$C$6,2,FALSE())</f>
        <v>07:30</v>
      </c>
      <c r="J16" s="9" t="str">
        <f aca="false">VLOOKUP($H16,DM_CA_LAM!$A$4:$C$6,3,FALSE())</f>
        <v>17:30</v>
      </c>
      <c r="K16" s="9" t="s">
        <v>158</v>
      </c>
      <c r="L16" s="9" t="s">
        <v>159</v>
      </c>
      <c r="M16" s="9" t="n">
        <f aca="false">IF($K16="","",MAX(0,ROUND((TIMEVALUE($K16)-TIMEVALUE($I16))*1440,0)))</f>
        <v>0</v>
      </c>
      <c r="N16" s="9" t="n">
        <f aca="false">IF($L16="","",MAX(0,ROUND((TIMEVALUE($J16)-TIMEVALUE($L16))*1440,0)))</f>
        <v>0</v>
      </c>
      <c r="O16" s="9" t="n">
        <f aca="false">IF(OR($K16="",$L16=""),0,ROUND(VLOOKUP($H16,DM_CA_LAM!$A$4:$F$6,6,FALSE())-$M16/60-$N16/60,2))</f>
        <v>8</v>
      </c>
      <c r="P16" s="9" t="s">
        <v>108</v>
      </c>
      <c r="Q16" s="9" t="n">
        <v>0</v>
      </c>
      <c r="R16" s="10"/>
      <c r="S16" s="10"/>
      <c r="T16" s="9" t="str">
        <f aca="false">$B16&amp;"_"&amp;TEXT($F16,"yyyymmdd")</f>
        <v>NV021_20260601</v>
      </c>
      <c r="U16" s="9" t="str">
        <f aca="false">VLOOKUP($P16,DM_TRANG_THAI!$A$4:$B$9,2,FALSE())</f>
        <v>P</v>
      </c>
    </row>
    <row r="17" customFormat="false" ht="15.75" hidden="false" customHeight="true" outlineLevel="0" collapsed="false">
      <c r="A17" s="9" t="n">
        <v>14</v>
      </c>
      <c r="B17" s="9" t="s">
        <v>76</v>
      </c>
      <c r="C17" s="10" t="str">
        <f aca="false">VLOOKUP($B17,DM_NHAN_VIEN!$B$4:$F$18,2,FALSE())</f>
        <v>Lý Văn Dũng</v>
      </c>
      <c r="D17" s="9" t="str">
        <f aca="false">VLOOKUP($B17,DM_NHAN_VIEN!$B$4:$F$18,3,FALSE())</f>
        <v>Xưởng sản xuất</v>
      </c>
      <c r="E17" s="9" t="str">
        <f aca="false">VLOOKUP($B17,DM_NHAN_VIEN!$B$4:$F$18,4,FALSE())</f>
        <v>Tổ trưởng</v>
      </c>
      <c r="F17" s="18" t="n">
        <v>46174</v>
      </c>
      <c r="G17" s="9" t="str">
        <f aca="false">CHOOSE(WEEKDAY(F17,2),"Thứ Hai","Thứ Ba","Thứ Tư","Thứ Năm","Thứ Sáu","Thứ Bảy","Chủ Nhật")</f>
        <v>Thứ Hai</v>
      </c>
      <c r="H17" s="9" t="str">
        <f aca="false">VLOOKUP($B17,DM_NHAN_VIEN!$B$4:$F$18,5,FALSE())</f>
        <v>Ca Hành Chính</v>
      </c>
      <c r="I17" s="9" t="str">
        <f aca="false">VLOOKUP($H17,DM_CA_LAM!$A$4:$C$6,2,FALSE())</f>
        <v>07:30</v>
      </c>
      <c r="J17" s="9" t="str">
        <f aca="false">VLOOKUP($H17,DM_CA_LAM!$A$4:$C$6,3,FALSE())</f>
        <v>17:30</v>
      </c>
      <c r="K17" s="9" t="s">
        <v>160</v>
      </c>
      <c r="L17" s="9" t="s">
        <v>157</v>
      </c>
      <c r="M17" s="9" t="n">
        <f aca="false">IF($K17="","",MAX(0,ROUND((TIMEVALUE($K17)-TIMEVALUE($I17))*1440,0)))</f>
        <v>0</v>
      </c>
      <c r="N17" s="9" t="n">
        <f aca="false">IF($L17="","",MAX(0,ROUND((TIMEVALUE($J17)-TIMEVALUE($L17))*1440,0)))</f>
        <v>0</v>
      </c>
      <c r="O17" s="9" t="n">
        <f aca="false">IF(OR($K17="",$L17=""),0,ROUND(VLOOKUP($H17,DM_CA_LAM!$A$4:$F$6,6,FALSE())-$M17/60-$N17/60,2))</f>
        <v>8</v>
      </c>
      <c r="P17" s="9" t="s">
        <v>108</v>
      </c>
      <c r="Q17" s="9" t="n">
        <v>0</v>
      </c>
      <c r="R17" s="10"/>
      <c r="S17" s="10"/>
      <c r="T17" s="9" t="str">
        <f aca="false">$B17&amp;"_"&amp;TEXT($F17,"yyyymmdd")</f>
        <v>NV029_20260601</v>
      </c>
      <c r="U17" s="9" t="str">
        <f aca="false">VLOOKUP($P17,DM_TRANG_THAI!$A$4:$B$9,2,FALSE())</f>
        <v>P</v>
      </c>
    </row>
    <row r="18" customFormat="false" ht="15.75" hidden="false" customHeight="true" outlineLevel="0" collapsed="false">
      <c r="A18" s="9" t="n">
        <v>15</v>
      </c>
      <c r="B18" s="9" t="s">
        <v>80</v>
      </c>
      <c r="C18" s="10" t="str">
        <f aca="false">VLOOKUP($B18,DM_NHAN_VIEN!$B$4:$F$18,2,FALSE())</f>
        <v>Tống Văn Thắng</v>
      </c>
      <c r="D18" s="9" t="str">
        <f aca="false">VLOOKUP($B18,DM_NHAN_VIEN!$B$4:$F$18,3,FALSE())</f>
        <v>Xưởng sản xuất</v>
      </c>
      <c r="E18" s="9" t="str">
        <f aca="false">VLOOKUP($B18,DM_NHAN_VIEN!$B$4:$F$18,4,FALSE())</f>
        <v>Tổ trưởng</v>
      </c>
      <c r="F18" s="18" t="n">
        <v>46174</v>
      </c>
      <c r="G18" s="9" t="str">
        <f aca="false">CHOOSE(WEEKDAY(F18,2),"Thứ Hai","Thứ Ba","Thứ Tư","Thứ Năm","Thứ Sáu","Thứ Bảy","Chủ Nhật")</f>
        <v>Thứ Hai</v>
      </c>
      <c r="H18" s="9" t="str">
        <f aca="false">VLOOKUP($B18,DM_NHAN_VIEN!$B$4:$F$18,5,FALSE())</f>
        <v>Ca Hành Chính</v>
      </c>
      <c r="I18" s="9" t="str">
        <f aca="false">VLOOKUP($H18,DM_CA_LAM!$A$4:$C$6,2,FALSE())</f>
        <v>07:30</v>
      </c>
      <c r="J18" s="9" t="str">
        <f aca="false">VLOOKUP($H18,DM_CA_LAM!$A$4:$C$6,3,FALSE())</f>
        <v>17:30</v>
      </c>
      <c r="K18" s="9" t="s">
        <v>161</v>
      </c>
      <c r="L18" s="9" t="s">
        <v>157</v>
      </c>
      <c r="M18" s="9" t="n">
        <f aca="false">IF($K18="","",MAX(0,ROUND((TIMEVALUE($K18)-TIMEVALUE($I18))*1440,0)))</f>
        <v>0</v>
      </c>
      <c r="N18" s="9" t="n">
        <f aca="false">IF($L18="","",MAX(0,ROUND((TIMEVALUE($J18)-TIMEVALUE($L18))*1440,0)))</f>
        <v>0</v>
      </c>
      <c r="O18" s="9" t="n">
        <f aca="false">IF(OR($K18="",$L18=""),0,ROUND(VLOOKUP($H18,DM_CA_LAM!$A$4:$F$6,6,FALSE())-$M18/60-$N18/60,2))</f>
        <v>8</v>
      </c>
      <c r="P18" s="9" t="s">
        <v>108</v>
      </c>
      <c r="Q18" s="9" t="n">
        <v>0</v>
      </c>
      <c r="R18" s="10"/>
      <c r="S18" s="10"/>
      <c r="T18" s="9" t="str">
        <f aca="false">$B18&amp;"_"&amp;TEXT($F18,"yyyymmdd")</f>
        <v>NV030_20260601</v>
      </c>
      <c r="U18" s="9" t="str">
        <f aca="false">VLOOKUP($P18,DM_TRANG_THAI!$A$4:$B$9,2,FALSE())</f>
        <v>P</v>
      </c>
    </row>
    <row r="19" customFormat="false" ht="15.75" hidden="false" customHeight="true" outlineLevel="0" collapsed="false">
      <c r="A19" s="9" t="n">
        <v>16</v>
      </c>
      <c r="B19" s="9" t="s">
        <v>24</v>
      </c>
      <c r="C19" s="10" t="str">
        <f aca="false">VLOOKUP($B19,DM_NHAN_VIEN!$B$4:$F$18,2,FALSE())</f>
        <v>Nguyễn Văn Giám Đốc</v>
      </c>
      <c r="D19" s="9" t="str">
        <f aca="false">VLOOKUP($B19,DM_NHAN_VIEN!$B$4:$F$18,3,FALSE())</f>
        <v>Hành chính</v>
      </c>
      <c r="E19" s="9" t="str">
        <f aca="false">VLOOKUP($B19,DM_NHAN_VIEN!$B$4:$F$18,4,FALSE())</f>
        <v>Giám đốc</v>
      </c>
      <c r="F19" s="18" t="n">
        <v>46175</v>
      </c>
      <c r="G19" s="9" t="str">
        <f aca="false">CHOOSE(WEEKDAY(F19,2),"Thứ Hai","Thứ Ba","Thứ Tư","Thứ Năm","Thứ Sáu","Thứ Bảy","Chủ Nhật")</f>
        <v>Thứ Ba</v>
      </c>
      <c r="H19" s="9" t="str">
        <f aca="false">VLOOKUP($B19,DM_NHAN_VIEN!$B$4:$F$18,5,FALSE())</f>
        <v>Ca Hành Chính</v>
      </c>
      <c r="I19" s="9" t="str">
        <f aca="false">VLOOKUP($H19,DM_CA_LAM!$A$4:$C$6,2,FALSE())</f>
        <v>07:30</v>
      </c>
      <c r="J19" s="9" t="str">
        <f aca="false">VLOOKUP($H19,DM_CA_LAM!$A$4:$C$6,3,FALSE())</f>
        <v>17:30</v>
      </c>
      <c r="K19" s="9" t="s">
        <v>160</v>
      </c>
      <c r="L19" s="9" t="s">
        <v>162</v>
      </c>
      <c r="M19" s="9" t="n">
        <f aca="false">IF($K19="","",MAX(0,ROUND((TIMEVALUE($K19)-TIMEVALUE($I19))*1440,0)))</f>
        <v>0</v>
      </c>
      <c r="N19" s="9" t="n">
        <f aca="false">IF($L19="","",MAX(0,ROUND((TIMEVALUE($J19)-TIMEVALUE($L19))*1440,0)))</f>
        <v>0</v>
      </c>
      <c r="O19" s="9" t="n">
        <f aca="false">IF(OR($K19="",$L19=""),0,ROUND(VLOOKUP($H19,DM_CA_LAM!$A$4:$F$6,6,FALSE())-$M19/60-$N19/60,2))</f>
        <v>8</v>
      </c>
      <c r="P19" s="9" t="s">
        <v>108</v>
      </c>
      <c r="Q19" s="9" t="n">
        <v>0</v>
      </c>
      <c r="R19" s="10"/>
      <c r="S19" s="10"/>
      <c r="T19" s="9" t="str">
        <f aca="false">$B19&amp;"_"&amp;TEXT($F19,"yyyymmdd")</f>
        <v>NV002_20260602</v>
      </c>
      <c r="U19" s="9" t="str">
        <f aca="false">VLOOKUP($P19,DM_TRANG_THAI!$A$4:$B$9,2,FALSE())</f>
        <v>P</v>
      </c>
    </row>
    <row r="20" customFormat="false" ht="15.75" hidden="false" customHeight="true" outlineLevel="0" collapsed="false">
      <c r="A20" s="9" t="n">
        <v>17</v>
      </c>
      <c r="B20" s="9" t="s">
        <v>30</v>
      </c>
      <c r="C20" s="10" t="str">
        <f aca="false">VLOOKUP($B20,DM_NHAN_VIEN!$B$4:$F$18,2,FALSE())</f>
        <v>Trần Thị Nhân Sự</v>
      </c>
      <c r="D20" s="9" t="str">
        <f aca="false">VLOOKUP($B20,DM_NHAN_VIEN!$B$4:$F$18,3,FALSE())</f>
        <v>Nhân sự</v>
      </c>
      <c r="E20" s="9" t="str">
        <f aca="false">VLOOKUP($B20,DM_NHAN_VIEN!$B$4:$F$18,4,FALSE())</f>
        <v>Trưởng phòng</v>
      </c>
      <c r="F20" s="18" t="n">
        <v>46175</v>
      </c>
      <c r="G20" s="9" t="str">
        <f aca="false">CHOOSE(WEEKDAY(F20,2),"Thứ Hai","Thứ Ba","Thứ Tư","Thứ Năm","Thứ Sáu","Thứ Bảy","Chủ Nhật")</f>
        <v>Thứ Ba</v>
      </c>
      <c r="H20" s="9" t="str">
        <f aca="false">VLOOKUP($B20,DM_NHAN_VIEN!$B$4:$F$18,5,FALSE())</f>
        <v>Ca Hành Chính</v>
      </c>
      <c r="I20" s="9" t="str">
        <f aca="false">VLOOKUP($H20,DM_CA_LAM!$A$4:$C$6,2,FALSE())</f>
        <v>07:30</v>
      </c>
      <c r="J20" s="9" t="str">
        <f aca="false">VLOOKUP($H20,DM_CA_LAM!$A$4:$C$6,3,FALSE())</f>
        <v>17:30</v>
      </c>
      <c r="K20" s="9" t="s">
        <v>92</v>
      </c>
      <c r="L20" s="9" t="s">
        <v>163</v>
      </c>
      <c r="M20" s="9" t="n">
        <f aca="false">IF($K20="","",MAX(0,ROUND((TIMEVALUE($K20)-TIMEVALUE($I20))*1440,0)))</f>
        <v>0</v>
      </c>
      <c r="N20" s="9" t="n">
        <f aca="false">IF($L20="","",MAX(0,ROUND((TIMEVALUE($J20)-TIMEVALUE($L20))*1440,0)))</f>
        <v>0</v>
      </c>
      <c r="O20" s="9" t="n">
        <f aca="false">IF(OR($K20="",$L20=""),0,ROUND(VLOOKUP($H20,DM_CA_LAM!$A$4:$F$6,6,FALSE())-$M20/60-$N20/60,2))</f>
        <v>8</v>
      </c>
      <c r="P20" s="9" t="s">
        <v>108</v>
      </c>
      <c r="Q20" s="9" t="n">
        <v>0</v>
      </c>
      <c r="R20" s="10"/>
      <c r="S20" s="10"/>
      <c r="T20" s="9" t="str">
        <f aca="false">$B20&amp;"_"&amp;TEXT($F20,"yyyymmdd")</f>
        <v>NV003_20260602</v>
      </c>
      <c r="U20" s="9" t="str">
        <f aca="false">VLOOKUP($P20,DM_TRANG_THAI!$A$4:$B$9,2,FALSE())</f>
        <v>P</v>
      </c>
    </row>
    <row r="21" customFormat="false" ht="15.75" hidden="false" customHeight="true" outlineLevel="0" collapsed="false">
      <c r="A21" s="9" t="n">
        <v>18</v>
      </c>
      <c r="B21" s="9" t="s">
        <v>35</v>
      </c>
      <c r="C21" s="10" t="str">
        <f aca="false">VLOOKUP($B21,DM_NHAN_VIEN!$B$4:$F$18,2,FALSE())</f>
        <v>Lê Văn Quản Đốc</v>
      </c>
      <c r="D21" s="9" t="str">
        <f aca="false">VLOOKUP($B21,DM_NHAN_VIEN!$B$4:$F$18,3,FALSE())</f>
        <v>Xưởng sản xuất</v>
      </c>
      <c r="E21" s="9" t="str">
        <f aca="false">VLOOKUP($B21,DM_NHAN_VIEN!$B$4:$F$18,4,FALSE())</f>
        <v>Quản đốc</v>
      </c>
      <c r="F21" s="18" t="n">
        <v>46175</v>
      </c>
      <c r="G21" s="9" t="str">
        <f aca="false">CHOOSE(WEEKDAY(F21,2),"Thứ Hai","Thứ Ba","Thứ Tư","Thứ Năm","Thứ Sáu","Thứ Bảy","Chủ Nhật")</f>
        <v>Thứ Ba</v>
      </c>
      <c r="H21" s="9" t="str">
        <f aca="false">VLOOKUP($B21,DM_NHAN_VIEN!$B$4:$F$18,5,FALSE())</f>
        <v>Ca Hành Chính</v>
      </c>
      <c r="I21" s="9" t="str">
        <f aca="false">VLOOKUP($H21,DM_CA_LAM!$A$4:$C$6,2,FALSE())</f>
        <v>07:30</v>
      </c>
      <c r="J21" s="9" t="str">
        <f aca="false">VLOOKUP($H21,DM_CA_LAM!$A$4:$C$6,3,FALSE())</f>
        <v>17:30</v>
      </c>
      <c r="K21" s="9" t="s">
        <v>156</v>
      </c>
      <c r="L21" s="9" t="s">
        <v>149</v>
      </c>
      <c r="M21" s="9" t="n">
        <f aca="false">IF($K21="","",MAX(0,ROUND((TIMEVALUE($K21)-TIMEVALUE($I21))*1440,0)))</f>
        <v>0</v>
      </c>
      <c r="N21" s="9" t="n">
        <f aca="false">IF($L21="","",MAX(0,ROUND((TIMEVALUE($J21)-TIMEVALUE($L21))*1440,0)))</f>
        <v>0</v>
      </c>
      <c r="O21" s="9" t="n">
        <f aca="false">IF(OR($K21="",$L21=""),0,ROUND(VLOOKUP($H21,DM_CA_LAM!$A$4:$F$6,6,FALSE())-$M21/60-$N21/60,2))</f>
        <v>8</v>
      </c>
      <c r="P21" s="9" t="s">
        <v>108</v>
      </c>
      <c r="Q21" s="9" t="n">
        <v>0</v>
      </c>
      <c r="R21" s="10"/>
      <c r="S21" s="10"/>
      <c r="T21" s="9" t="str">
        <f aca="false">$B21&amp;"_"&amp;TEXT($F21,"yyyymmdd")</f>
        <v>NV004_20260602</v>
      </c>
      <c r="U21" s="9" t="str">
        <f aca="false">VLOOKUP($P21,DM_TRANG_THAI!$A$4:$B$9,2,FALSE())</f>
        <v>P</v>
      </c>
    </row>
    <row r="22" customFormat="false" ht="15.75" hidden="false" customHeight="true" outlineLevel="0" collapsed="false">
      <c r="A22" s="9" t="n">
        <v>19</v>
      </c>
      <c r="B22" s="9" t="s">
        <v>40</v>
      </c>
      <c r="C22" s="10" t="str">
        <f aca="false">VLOOKUP($B22,DM_NHAN_VIEN!$B$4:$F$18,2,FALSE())</f>
        <v>Phạm Công Nhân</v>
      </c>
      <c r="D22" s="9" t="str">
        <f aca="false">VLOOKUP($B22,DM_NHAN_VIEN!$B$4:$F$18,3,FALSE())</f>
        <v>Xưởng sản xuất</v>
      </c>
      <c r="E22" s="9" t="str">
        <f aca="false">VLOOKUP($B22,DM_NHAN_VIEN!$B$4:$F$18,4,FALSE())</f>
        <v>Công nhân</v>
      </c>
      <c r="F22" s="18" t="n">
        <v>46175</v>
      </c>
      <c r="G22" s="9" t="str">
        <f aca="false">CHOOSE(WEEKDAY(F22,2),"Thứ Hai","Thứ Ba","Thứ Tư","Thứ Năm","Thứ Sáu","Thứ Bảy","Chủ Nhật")</f>
        <v>Thứ Ba</v>
      </c>
      <c r="H22" s="9" t="str">
        <f aca="false">VLOOKUP($B22,DM_NHAN_VIEN!$B$4:$F$18,5,FALSE())</f>
        <v>Ca Hành Chính</v>
      </c>
      <c r="I22" s="9" t="str">
        <f aca="false">VLOOKUP($H22,DM_CA_LAM!$A$4:$C$6,2,FALSE())</f>
        <v>07:30</v>
      </c>
      <c r="J22" s="9" t="str">
        <f aca="false">VLOOKUP($H22,DM_CA_LAM!$A$4:$C$6,3,FALSE())</f>
        <v>17:30</v>
      </c>
      <c r="K22" s="9" t="s">
        <v>92</v>
      </c>
      <c r="L22" s="9" t="s">
        <v>144</v>
      </c>
      <c r="M22" s="9" t="n">
        <f aca="false">IF($K22="","",MAX(0,ROUND((TIMEVALUE($K22)-TIMEVALUE($I22))*1440,0)))</f>
        <v>0</v>
      </c>
      <c r="N22" s="9" t="n">
        <f aca="false">IF($L22="","",MAX(0,ROUND((TIMEVALUE($J22)-TIMEVALUE($L22))*1440,0)))</f>
        <v>0</v>
      </c>
      <c r="O22" s="9" t="n">
        <f aca="false">IF(OR($K22="",$L22=""),0,ROUND(VLOOKUP($H22,DM_CA_LAM!$A$4:$F$6,6,FALSE())-$M22/60-$N22/60,2))</f>
        <v>8</v>
      </c>
      <c r="P22" s="9" t="s">
        <v>108</v>
      </c>
      <c r="Q22" s="9" t="n">
        <v>0</v>
      </c>
      <c r="R22" s="10"/>
      <c r="S22" s="10"/>
      <c r="T22" s="9" t="str">
        <f aca="false">$B22&amp;"_"&amp;TEXT($F22,"yyyymmdd")</f>
        <v>NV005_20260602</v>
      </c>
      <c r="U22" s="9" t="str">
        <f aca="false">VLOOKUP($P22,DM_TRANG_THAI!$A$4:$B$9,2,FALSE())</f>
        <v>P</v>
      </c>
    </row>
    <row r="23" customFormat="false" ht="15.75" hidden="false" customHeight="true" outlineLevel="0" collapsed="false">
      <c r="A23" s="9" t="n">
        <v>20</v>
      </c>
      <c r="B23" s="9" t="s">
        <v>44</v>
      </c>
      <c r="C23" s="10" t="str">
        <f aca="false">VLOOKUP($B23,DM_NHAN_VIEN!$B$4:$F$18,2,FALSE())</f>
        <v>Đỗ Thị Hà</v>
      </c>
      <c r="D23" s="9" t="str">
        <f aca="false">VLOOKUP($B23,DM_NHAN_VIEN!$B$4:$F$18,3,FALSE())</f>
        <v>Hành chính</v>
      </c>
      <c r="E23" s="9" t="str">
        <f aca="false">VLOOKUP($B23,DM_NHAN_VIEN!$B$4:$F$18,4,FALSE())</f>
        <v>Trưởng phòng</v>
      </c>
      <c r="F23" s="18" t="n">
        <v>46175</v>
      </c>
      <c r="G23" s="9" t="str">
        <f aca="false">CHOOSE(WEEKDAY(F23,2),"Thứ Hai","Thứ Ba","Thứ Tư","Thứ Năm","Thứ Sáu","Thứ Bảy","Chủ Nhật")</f>
        <v>Thứ Ba</v>
      </c>
      <c r="H23" s="9" t="str">
        <f aca="false">VLOOKUP($B23,DM_NHAN_VIEN!$B$4:$F$18,5,FALSE())</f>
        <v>Ca Hành Chính</v>
      </c>
      <c r="I23" s="9" t="str">
        <f aca="false">VLOOKUP($H23,DM_CA_LAM!$A$4:$C$6,2,FALSE())</f>
        <v>07:30</v>
      </c>
      <c r="J23" s="9" t="str">
        <f aca="false">VLOOKUP($H23,DM_CA_LAM!$A$4:$C$6,3,FALSE())</f>
        <v>17:30</v>
      </c>
      <c r="K23" s="9" t="s">
        <v>92</v>
      </c>
      <c r="L23" s="9" t="s">
        <v>146</v>
      </c>
      <c r="M23" s="9" t="n">
        <f aca="false">IF($K23="","",MAX(0,ROUND((TIMEVALUE($K23)-TIMEVALUE($I23))*1440,0)))</f>
        <v>0</v>
      </c>
      <c r="N23" s="9" t="n">
        <f aca="false">IF($L23="","",MAX(0,ROUND((TIMEVALUE($J23)-TIMEVALUE($L23))*1440,0)))</f>
        <v>0</v>
      </c>
      <c r="O23" s="9" t="n">
        <f aca="false">IF(OR($K23="",$L23=""),0,ROUND(VLOOKUP($H23,DM_CA_LAM!$A$4:$F$6,6,FALSE())-$M23/60-$N23/60,2))</f>
        <v>8</v>
      </c>
      <c r="P23" s="9" t="s">
        <v>108</v>
      </c>
      <c r="Q23" s="9" t="n">
        <v>0</v>
      </c>
      <c r="R23" s="10"/>
      <c r="S23" s="10"/>
      <c r="T23" s="9" t="str">
        <f aca="false">$B23&amp;"_"&amp;TEXT($F23,"yyyymmdd")</f>
        <v>NV006_20260602</v>
      </c>
      <c r="U23" s="9" t="str">
        <f aca="false">VLOOKUP($P23,DM_TRANG_THAI!$A$4:$B$9,2,FALSE())</f>
        <v>P</v>
      </c>
    </row>
    <row r="24" customFormat="false" ht="15.75" hidden="false" customHeight="true" outlineLevel="0" collapsed="false">
      <c r="A24" s="9" t="n">
        <v>21</v>
      </c>
      <c r="B24" s="9" t="s">
        <v>47</v>
      </c>
      <c r="C24" s="10" t="str">
        <f aca="false">VLOOKUP($B24,DM_NHAN_VIEN!$B$4:$F$18,2,FALSE())</f>
        <v>Ngô Văn Tài</v>
      </c>
      <c r="D24" s="9" t="str">
        <f aca="false">VLOOKUP($B24,DM_NHAN_VIEN!$B$4:$F$18,3,FALSE())</f>
        <v>Hành chính</v>
      </c>
      <c r="E24" s="9" t="str">
        <f aca="false">VLOOKUP($B24,DM_NHAN_VIEN!$B$4:$F$18,4,FALSE())</f>
        <v>Phó phòng</v>
      </c>
      <c r="F24" s="18" t="n">
        <v>46175</v>
      </c>
      <c r="G24" s="9" t="str">
        <f aca="false">CHOOSE(WEEKDAY(F24,2),"Thứ Hai","Thứ Ba","Thứ Tư","Thứ Năm","Thứ Sáu","Thứ Bảy","Chủ Nhật")</f>
        <v>Thứ Ba</v>
      </c>
      <c r="H24" s="9" t="str">
        <f aca="false">VLOOKUP($B24,DM_NHAN_VIEN!$B$4:$F$18,5,FALSE())</f>
        <v>Ca Hành Chính</v>
      </c>
      <c r="I24" s="9" t="str">
        <f aca="false">VLOOKUP($H24,DM_CA_LAM!$A$4:$C$6,2,FALSE())</f>
        <v>07:30</v>
      </c>
      <c r="J24" s="9" t="str">
        <f aca="false">VLOOKUP($H24,DM_CA_LAM!$A$4:$C$6,3,FALSE())</f>
        <v>17:30</v>
      </c>
      <c r="K24" s="9" t="s">
        <v>145</v>
      </c>
      <c r="L24" s="9" t="s">
        <v>164</v>
      </c>
      <c r="M24" s="9" t="n">
        <f aca="false">IF($K24="","",MAX(0,ROUND((TIMEVALUE($K24)-TIMEVALUE($I24))*1440,0)))</f>
        <v>0</v>
      </c>
      <c r="N24" s="9" t="n">
        <f aca="false">IF($L24="","",MAX(0,ROUND((TIMEVALUE($J24)-TIMEVALUE($L24))*1440,0)))</f>
        <v>0</v>
      </c>
      <c r="O24" s="9" t="n">
        <f aca="false">IF(OR($K24="",$L24=""),0,ROUND(VLOOKUP($H24,DM_CA_LAM!$A$4:$F$6,6,FALSE())-$M24/60-$N24/60,2))</f>
        <v>8</v>
      </c>
      <c r="P24" s="9" t="s">
        <v>108</v>
      </c>
      <c r="Q24" s="9" t="n">
        <v>0</v>
      </c>
      <c r="R24" s="10"/>
      <c r="S24" s="10"/>
      <c r="T24" s="9" t="str">
        <f aca="false">$B24&amp;"_"&amp;TEXT($F24,"yyyymmdd")</f>
        <v>NV007_20260602</v>
      </c>
      <c r="U24" s="9" t="str">
        <f aca="false">VLOOKUP($P24,DM_TRANG_THAI!$A$4:$B$9,2,FALSE())</f>
        <v>P</v>
      </c>
    </row>
    <row r="25" customFormat="false" ht="15.75" hidden="false" customHeight="true" outlineLevel="0" collapsed="false">
      <c r="A25" s="9" t="n">
        <v>22</v>
      </c>
      <c r="B25" s="9" t="s">
        <v>51</v>
      </c>
      <c r="C25" s="10" t="str">
        <f aca="false">VLOOKUP($B25,DM_NHAN_VIEN!$B$4:$F$18,2,FALSE())</f>
        <v>Vũ Thị Nga</v>
      </c>
      <c r="D25" s="9" t="str">
        <f aca="false">VLOOKUP($B25,DM_NHAN_VIEN!$B$4:$F$18,3,FALSE())</f>
        <v>Hành chính</v>
      </c>
      <c r="E25" s="9" t="str">
        <f aca="false">VLOOKUP($B25,DM_NHAN_VIEN!$B$4:$F$18,4,FALSE())</f>
        <v>Chuyên viên</v>
      </c>
      <c r="F25" s="18" t="n">
        <v>46175</v>
      </c>
      <c r="G25" s="9" t="str">
        <f aca="false">CHOOSE(WEEKDAY(F25,2),"Thứ Hai","Thứ Ba","Thứ Tư","Thứ Năm","Thứ Sáu","Thứ Bảy","Chủ Nhật")</f>
        <v>Thứ Ba</v>
      </c>
      <c r="H25" s="9" t="str">
        <f aca="false">VLOOKUP($B25,DM_NHAN_VIEN!$B$4:$F$18,5,FALSE())</f>
        <v>Ca Hành Chính</v>
      </c>
      <c r="I25" s="9" t="str">
        <f aca="false">VLOOKUP($H25,DM_CA_LAM!$A$4:$C$6,2,FALSE())</f>
        <v>07:30</v>
      </c>
      <c r="J25" s="9" t="str">
        <f aca="false">VLOOKUP($H25,DM_CA_LAM!$A$4:$C$6,3,FALSE())</f>
        <v>17:30</v>
      </c>
      <c r="K25" s="9" t="s">
        <v>148</v>
      </c>
      <c r="L25" s="9" t="s">
        <v>165</v>
      </c>
      <c r="M25" s="9" t="n">
        <f aca="false">IF($K25="","",MAX(0,ROUND((TIMEVALUE($K25)-TIMEVALUE($I25))*1440,0)))</f>
        <v>0</v>
      </c>
      <c r="N25" s="9" t="n">
        <f aca="false">IF($L25="","",MAX(0,ROUND((TIMEVALUE($J25)-TIMEVALUE($L25))*1440,0)))</f>
        <v>0</v>
      </c>
      <c r="O25" s="9" t="n">
        <f aca="false">IF(OR($K25="",$L25=""),0,ROUND(VLOOKUP($H25,DM_CA_LAM!$A$4:$F$6,6,FALSE())-$M25/60-$N25/60,2))</f>
        <v>8</v>
      </c>
      <c r="P25" s="9" t="s">
        <v>108</v>
      </c>
      <c r="Q25" s="9" t="n">
        <v>0</v>
      </c>
      <c r="R25" s="10"/>
      <c r="S25" s="10"/>
      <c r="T25" s="9" t="str">
        <f aca="false">$B25&amp;"_"&amp;TEXT($F25,"yyyymmdd")</f>
        <v>NV008_20260602</v>
      </c>
      <c r="U25" s="9" t="str">
        <f aca="false">VLOOKUP($P25,DM_TRANG_THAI!$A$4:$B$9,2,FALSE())</f>
        <v>P</v>
      </c>
    </row>
    <row r="26" customFormat="false" ht="15.75" hidden="false" customHeight="true" outlineLevel="0" collapsed="false">
      <c r="A26" s="9" t="n">
        <v>23</v>
      </c>
      <c r="B26" s="9" t="s">
        <v>55</v>
      </c>
      <c r="C26" s="10" t="str">
        <f aca="false">VLOOKUP($B26,DM_NHAN_VIEN!$B$4:$F$18,2,FALSE())</f>
        <v>Đặng Thị Hồng</v>
      </c>
      <c r="D26" s="9" t="str">
        <f aca="false">VLOOKUP($B26,DM_NHAN_VIEN!$B$4:$F$18,3,FALSE())</f>
        <v>Nhân sự</v>
      </c>
      <c r="E26" s="9" t="str">
        <f aca="false">VLOOKUP($B26,DM_NHAN_VIEN!$B$4:$F$18,4,FALSE())</f>
        <v>Chuyên viên</v>
      </c>
      <c r="F26" s="18" t="n">
        <v>46175</v>
      </c>
      <c r="G26" s="9" t="str">
        <f aca="false">CHOOSE(WEEKDAY(F26,2),"Thứ Hai","Thứ Ba","Thứ Tư","Thứ Năm","Thứ Sáu","Thứ Bảy","Chủ Nhật")</f>
        <v>Thứ Ba</v>
      </c>
      <c r="H26" s="9" t="str">
        <f aca="false">VLOOKUP($B26,DM_NHAN_VIEN!$B$4:$F$18,5,FALSE())</f>
        <v>Ca Hành Chính</v>
      </c>
      <c r="I26" s="9" t="str">
        <f aca="false">VLOOKUP($H26,DM_CA_LAM!$A$4:$C$6,2,FALSE())</f>
        <v>07:30</v>
      </c>
      <c r="J26" s="9" t="str">
        <f aca="false">VLOOKUP($H26,DM_CA_LAM!$A$4:$C$6,3,FALSE())</f>
        <v>17:30</v>
      </c>
      <c r="K26" s="9" t="s">
        <v>145</v>
      </c>
      <c r="L26" s="9" t="s">
        <v>166</v>
      </c>
      <c r="M26" s="9" t="n">
        <f aca="false">IF($K26="","",MAX(0,ROUND((TIMEVALUE($K26)-TIMEVALUE($I26))*1440,0)))</f>
        <v>0</v>
      </c>
      <c r="N26" s="9" t="n">
        <f aca="false">IF($L26="","",MAX(0,ROUND((TIMEVALUE($J26)-TIMEVALUE($L26))*1440,0)))</f>
        <v>0</v>
      </c>
      <c r="O26" s="9" t="n">
        <f aca="false">IF(OR($K26="",$L26=""),0,ROUND(VLOOKUP($H26,DM_CA_LAM!$A$4:$F$6,6,FALSE())-$M26/60-$N26/60,2))</f>
        <v>8</v>
      </c>
      <c r="P26" s="9" t="s">
        <v>108</v>
      </c>
      <c r="Q26" s="9" t="n">
        <v>0</v>
      </c>
      <c r="R26" s="10"/>
      <c r="S26" s="10"/>
      <c r="T26" s="9" t="str">
        <f aca="false">$B26&amp;"_"&amp;TEXT($F26,"yyyymmdd")</f>
        <v>NV010_20260602</v>
      </c>
      <c r="U26" s="9" t="str">
        <f aca="false">VLOOKUP($P26,DM_TRANG_THAI!$A$4:$B$9,2,FALSE())</f>
        <v>P</v>
      </c>
    </row>
    <row r="27" customFormat="false" ht="15.75" hidden="false" customHeight="true" outlineLevel="0" collapsed="false">
      <c r="A27" s="9" t="n">
        <v>24</v>
      </c>
      <c r="B27" s="9" t="s">
        <v>58</v>
      </c>
      <c r="C27" s="10" t="str">
        <f aca="false">VLOOKUP($B27,DM_NHAN_VIEN!$B$4:$F$18,2,FALSE())</f>
        <v>Chu Văn Minh</v>
      </c>
      <c r="D27" s="9" t="str">
        <f aca="false">VLOOKUP($B27,DM_NHAN_VIEN!$B$4:$F$18,3,FALSE())</f>
        <v>Nhân sự</v>
      </c>
      <c r="E27" s="9" t="str">
        <f aca="false">VLOOKUP($B27,DM_NHAN_VIEN!$B$4:$F$18,4,FALSE())</f>
        <v>Chuyên viên</v>
      </c>
      <c r="F27" s="18" t="n">
        <v>46175</v>
      </c>
      <c r="G27" s="9" t="str">
        <f aca="false">CHOOSE(WEEKDAY(F27,2),"Thứ Hai","Thứ Ba","Thứ Tư","Thứ Năm","Thứ Sáu","Thứ Bảy","Chủ Nhật")</f>
        <v>Thứ Ba</v>
      </c>
      <c r="H27" s="9" t="str">
        <f aca="false">VLOOKUP($B27,DM_NHAN_VIEN!$B$4:$F$18,5,FALSE())</f>
        <v>Ca Hành Chính</v>
      </c>
      <c r="I27" s="9" t="str">
        <f aca="false">VLOOKUP($H27,DM_CA_LAM!$A$4:$C$6,2,FALSE())</f>
        <v>07:30</v>
      </c>
      <c r="J27" s="9" t="str">
        <f aca="false">VLOOKUP($H27,DM_CA_LAM!$A$4:$C$6,3,FALSE())</f>
        <v>17:30</v>
      </c>
      <c r="K27" s="9" t="s">
        <v>145</v>
      </c>
      <c r="L27" s="9" t="s">
        <v>164</v>
      </c>
      <c r="M27" s="9" t="n">
        <f aca="false">IF($K27="","",MAX(0,ROUND((TIMEVALUE($K27)-TIMEVALUE($I27))*1440,0)))</f>
        <v>0</v>
      </c>
      <c r="N27" s="9" t="n">
        <f aca="false">IF($L27="","",MAX(0,ROUND((TIMEVALUE($J27)-TIMEVALUE($L27))*1440,0)))</f>
        <v>0</v>
      </c>
      <c r="O27" s="9" t="n">
        <f aca="false">IF(OR($K27="",$L27=""),0,ROUND(VLOOKUP($H27,DM_CA_LAM!$A$4:$F$6,6,FALSE())-$M27/60-$N27/60,2))</f>
        <v>8</v>
      </c>
      <c r="P27" s="9" t="s">
        <v>108</v>
      </c>
      <c r="Q27" s="9" t="n">
        <v>0</v>
      </c>
      <c r="R27" s="10"/>
      <c r="S27" s="10"/>
      <c r="T27" s="9" t="str">
        <f aca="false">$B27&amp;"_"&amp;TEXT($F27,"yyyymmdd")</f>
        <v>NV011_20260602</v>
      </c>
      <c r="U27" s="9" t="str">
        <f aca="false">VLOOKUP($P27,DM_TRANG_THAI!$A$4:$B$9,2,FALSE())</f>
        <v>P</v>
      </c>
    </row>
    <row r="28" customFormat="false" ht="15.75" hidden="false" customHeight="true" outlineLevel="0" collapsed="false">
      <c r="A28" s="9" t="n">
        <v>25</v>
      </c>
      <c r="B28" s="9" t="s">
        <v>61</v>
      </c>
      <c r="C28" s="10" t="str">
        <f aca="false">VLOOKUP($B28,DM_NHAN_VIEN!$B$4:$F$18,2,FALSE())</f>
        <v>Phan Thị Khánh</v>
      </c>
      <c r="D28" s="9" t="str">
        <f aca="false">VLOOKUP($B28,DM_NHAN_VIEN!$B$4:$F$18,3,FALSE())</f>
        <v>Kế toán</v>
      </c>
      <c r="E28" s="9" t="str">
        <f aca="false">VLOOKUP($B28,DM_NHAN_VIEN!$B$4:$F$18,4,FALSE())</f>
        <v>Trưởng phòng</v>
      </c>
      <c r="F28" s="18" t="n">
        <v>46175</v>
      </c>
      <c r="G28" s="9" t="str">
        <f aca="false">CHOOSE(WEEKDAY(F28,2),"Thứ Hai","Thứ Ba","Thứ Tư","Thứ Năm","Thứ Sáu","Thứ Bảy","Chủ Nhật")</f>
        <v>Thứ Ba</v>
      </c>
      <c r="H28" s="9" t="str">
        <f aca="false">VLOOKUP($B28,DM_NHAN_VIEN!$B$4:$F$18,5,FALSE())</f>
        <v>Ca Hành Chính</v>
      </c>
      <c r="I28" s="9" t="str">
        <f aca="false">VLOOKUP($H28,DM_CA_LAM!$A$4:$C$6,2,FALSE())</f>
        <v>07:30</v>
      </c>
      <c r="J28" s="9" t="str">
        <f aca="false">VLOOKUP($H28,DM_CA_LAM!$A$4:$C$6,3,FALSE())</f>
        <v>17:30</v>
      </c>
      <c r="K28" s="9" t="s">
        <v>167</v>
      </c>
      <c r="L28" s="9" t="s">
        <v>164</v>
      </c>
      <c r="M28" s="9" t="n">
        <f aca="false">IF($K28="","",MAX(0,ROUND((TIMEVALUE($K28)-TIMEVALUE($I28))*1440,0)))</f>
        <v>0</v>
      </c>
      <c r="N28" s="9" t="n">
        <f aca="false">IF($L28="","",MAX(0,ROUND((TIMEVALUE($J28)-TIMEVALUE($L28))*1440,0)))</f>
        <v>0</v>
      </c>
      <c r="O28" s="9" t="n">
        <f aca="false">IF(OR($K28="",$L28=""),0,ROUND(VLOOKUP($H28,DM_CA_LAM!$A$4:$F$6,6,FALSE())-$M28/60-$N28/60,2))</f>
        <v>8</v>
      </c>
      <c r="P28" s="9" t="s">
        <v>108</v>
      </c>
      <c r="Q28" s="9" t="n">
        <v>0</v>
      </c>
      <c r="R28" s="10"/>
      <c r="S28" s="10"/>
      <c r="T28" s="9" t="str">
        <f aca="false">$B28&amp;"_"&amp;TEXT($F28,"yyyymmdd")</f>
        <v>NV014_20260602</v>
      </c>
      <c r="U28" s="9" t="str">
        <f aca="false">VLOOKUP($P28,DM_TRANG_THAI!$A$4:$B$9,2,FALSE())</f>
        <v>P</v>
      </c>
    </row>
    <row r="29" customFormat="false" ht="15.75" hidden="false" customHeight="true" outlineLevel="0" collapsed="false">
      <c r="A29" s="9" t="n">
        <v>26</v>
      </c>
      <c r="B29" s="9" t="s">
        <v>65</v>
      </c>
      <c r="C29" s="10" t="str">
        <f aca="false">VLOOKUP($B29,DM_NHAN_VIEN!$B$4:$F$18,2,FALSE())</f>
        <v>Trịnh Văn Hùng</v>
      </c>
      <c r="D29" s="9" t="str">
        <f aca="false">VLOOKUP($B29,DM_NHAN_VIEN!$B$4:$F$18,3,FALSE())</f>
        <v>Kế toán</v>
      </c>
      <c r="E29" s="9" t="str">
        <f aca="false">VLOOKUP($B29,DM_NHAN_VIEN!$B$4:$F$18,4,FALSE())</f>
        <v>Phó phòng</v>
      </c>
      <c r="F29" s="18" t="n">
        <v>46175</v>
      </c>
      <c r="G29" s="9" t="str">
        <f aca="false">CHOOSE(WEEKDAY(F29,2),"Thứ Hai","Thứ Ba","Thứ Tư","Thứ Năm","Thứ Sáu","Thứ Bảy","Chủ Nhật")</f>
        <v>Thứ Ba</v>
      </c>
      <c r="H29" s="9" t="str">
        <f aca="false">VLOOKUP($B29,DM_NHAN_VIEN!$B$4:$F$18,5,FALSE())</f>
        <v>Ca Hành Chính</v>
      </c>
      <c r="I29" s="9" t="str">
        <f aca="false">VLOOKUP($H29,DM_CA_LAM!$A$4:$C$6,2,FALSE())</f>
        <v>07:30</v>
      </c>
      <c r="J29" s="9" t="str">
        <f aca="false">VLOOKUP($H29,DM_CA_LAM!$A$4:$C$6,3,FALSE())</f>
        <v>17:30</v>
      </c>
      <c r="K29" s="9" t="s">
        <v>168</v>
      </c>
      <c r="L29" s="9" t="s">
        <v>164</v>
      </c>
      <c r="M29" s="9" t="n">
        <f aca="false">IF($K29="","",MAX(0,ROUND((TIMEVALUE($K29)-TIMEVALUE($I29))*1440,0)))</f>
        <v>16</v>
      </c>
      <c r="N29" s="9" t="n">
        <f aca="false">IF($L29="","",MAX(0,ROUND((TIMEVALUE($J29)-TIMEVALUE($L29))*1440,0)))</f>
        <v>0</v>
      </c>
      <c r="O29" s="9" t="n">
        <f aca="false">IF(OR($K29="",$L29=""),0,ROUND(VLOOKUP($H29,DM_CA_LAM!$A$4:$F$6,6,FALSE())-$M29/60-$N29/60,2))</f>
        <v>7.73</v>
      </c>
      <c r="P29" s="9" t="s">
        <v>111</v>
      </c>
      <c r="Q29" s="9" t="n">
        <v>3</v>
      </c>
      <c r="R29" s="10" t="s">
        <v>169</v>
      </c>
      <c r="S29" s="10"/>
      <c r="T29" s="9" t="str">
        <f aca="false">$B29&amp;"_"&amp;TEXT($F29,"yyyymmdd")</f>
        <v>NV015_20260602</v>
      </c>
      <c r="U29" s="9" t="str">
        <f aca="false">VLOOKUP($P29,DM_TRANG_THAI!$A$4:$B$9,2,FALSE())</f>
        <v>L</v>
      </c>
    </row>
    <row r="30" customFormat="false" ht="15.75" hidden="false" customHeight="true" outlineLevel="0" collapsed="false">
      <c r="A30" s="9" t="n">
        <v>27</v>
      </c>
      <c r="B30" s="9" t="s">
        <v>68</v>
      </c>
      <c r="C30" s="10" t="str">
        <f aca="false">VLOOKUP($B30,DM_NHAN_VIEN!$B$4:$F$18,2,FALSE())</f>
        <v>Hoàng Văn Lộc</v>
      </c>
      <c r="D30" s="9" t="str">
        <f aca="false">VLOOKUP($B30,DM_NHAN_VIEN!$B$4:$F$18,3,FALSE())</f>
        <v>Kinh doanh</v>
      </c>
      <c r="E30" s="9" t="str">
        <f aca="false">VLOOKUP($B30,DM_NHAN_VIEN!$B$4:$F$18,4,FALSE())</f>
        <v>Trưởng phòng</v>
      </c>
      <c r="F30" s="18" t="n">
        <v>46175</v>
      </c>
      <c r="G30" s="9" t="str">
        <f aca="false">CHOOSE(WEEKDAY(F30,2),"Thứ Hai","Thứ Ba","Thứ Tư","Thứ Năm","Thứ Sáu","Thứ Bảy","Chủ Nhật")</f>
        <v>Thứ Ba</v>
      </c>
      <c r="H30" s="9" t="str">
        <f aca="false">VLOOKUP($B30,DM_NHAN_VIEN!$B$4:$F$18,5,FALSE())</f>
        <v>Ca Hành Chính</v>
      </c>
      <c r="I30" s="9" t="str">
        <f aca="false">VLOOKUP($H30,DM_CA_LAM!$A$4:$C$6,2,FALSE())</f>
        <v>07:30</v>
      </c>
      <c r="J30" s="9" t="str">
        <f aca="false">VLOOKUP($H30,DM_CA_LAM!$A$4:$C$6,3,FALSE())</f>
        <v>17:30</v>
      </c>
      <c r="K30" s="9" t="s">
        <v>145</v>
      </c>
      <c r="L30" s="9" t="s">
        <v>144</v>
      </c>
      <c r="M30" s="9" t="n">
        <f aca="false">IF($K30="","",MAX(0,ROUND((TIMEVALUE($K30)-TIMEVALUE($I30))*1440,0)))</f>
        <v>0</v>
      </c>
      <c r="N30" s="9" t="n">
        <f aca="false">IF($L30="","",MAX(0,ROUND((TIMEVALUE($J30)-TIMEVALUE($L30))*1440,0)))</f>
        <v>0</v>
      </c>
      <c r="O30" s="9" t="n">
        <f aca="false">IF(OR($K30="",$L30=""),0,ROUND(VLOOKUP($H30,DM_CA_LAM!$A$4:$F$6,6,FALSE())-$M30/60-$N30/60,2))</f>
        <v>8</v>
      </c>
      <c r="P30" s="9" t="s">
        <v>108</v>
      </c>
      <c r="Q30" s="9" t="n">
        <v>0</v>
      </c>
      <c r="R30" s="10"/>
      <c r="S30" s="10"/>
      <c r="T30" s="9" t="str">
        <f aca="false">$B30&amp;"_"&amp;TEXT($F30,"yyyymmdd")</f>
        <v>NV019_20260602</v>
      </c>
      <c r="U30" s="9" t="str">
        <f aca="false">VLOOKUP($P30,DM_TRANG_THAI!$A$4:$B$9,2,FALSE())</f>
        <v>P</v>
      </c>
    </row>
    <row r="31" customFormat="false" ht="15.75" hidden="false" customHeight="true" outlineLevel="0" collapsed="false">
      <c r="A31" s="9" t="n">
        <v>28</v>
      </c>
      <c r="B31" s="9" t="s">
        <v>72</v>
      </c>
      <c r="C31" s="10" t="str">
        <f aca="false">VLOOKUP($B31,DM_NHAN_VIEN!$B$4:$F$18,2,FALSE())</f>
        <v>Nguyễn Văn Phú</v>
      </c>
      <c r="D31" s="9" t="str">
        <f aca="false">VLOOKUP($B31,DM_NHAN_VIEN!$B$4:$F$18,3,FALSE())</f>
        <v>Kinh doanh</v>
      </c>
      <c r="E31" s="9" t="str">
        <f aca="false">VLOOKUP($B31,DM_NHAN_VIEN!$B$4:$F$18,4,FALSE())</f>
        <v>Nhân viên</v>
      </c>
      <c r="F31" s="18" t="n">
        <v>46175</v>
      </c>
      <c r="G31" s="9" t="str">
        <f aca="false">CHOOSE(WEEKDAY(F31,2),"Thứ Hai","Thứ Ba","Thứ Tư","Thứ Năm","Thứ Sáu","Thứ Bảy","Chủ Nhật")</f>
        <v>Thứ Ba</v>
      </c>
      <c r="H31" s="9" t="str">
        <f aca="false">VLOOKUP($B31,DM_NHAN_VIEN!$B$4:$F$18,5,FALSE())</f>
        <v>Ca Hành Chính</v>
      </c>
      <c r="I31" s="9" t="str">
        <f aca="false">VLOOKUP($H31,DM_CA_LAM!$A$4:$C$6,2,FALSE())</f>
        <v>07:30</v>
      </c>
      <c r="J31" s="9" t="str">
        <f aca="false">VLOOKUP($H31,DM_CA_LAM!$A$4:$C$6,3,FALSE())</f>
        <v>17:30</v>
      </c>
      <c r="K31" s="9" t="s">
        <v>147</v>
      </c>
      <c r="L31" s="9" t="s">
        <v>162</v>
      </c>
      <c r="M31" s="9" t="n">
        <f aca="false">IF($K31="","",MAX(0,ROUND((TIMEVALUE($K31)-TIMEVALUE($I31))*1440,0)))</f>
        <v>0</v>
      </c>
      <c r="N31" s="9" t="n">
        <f aca="false">IF($L31="","",MAX(0,ROUND((TIMEVALUE($J31)-TIMEVALUE($L31))*1440,0)))</f>
        <v>0</v>
      </c>
      <c r="O31" s="9" t="n">
        <f aca="false">IF(OR($K31="",$L31=""),0,ROUND(VLOOKUP($H31,DM_CA_LAM!$A$4:$F$6,6,FALSE())-$M31/60-$N31/60,2))</f>
        <v>8</v>
      </c>
      <c r="P31" s="9" t="s">
        <v>108</v>
      </c>
      <c r="Q31" s="9" t="n">
        <v>0</v>
      </c>
      <c r="R31" s="10"/>
      <c r="S31" s="10"/>
      <c r="T31" s="9" t="str">
        <f aca="false">$B31&amp;"_"&amp;TEXT($F31,"yyyymmdd")</f>
        <v>NV021_20260602</v>
      </c>
      <c r="U31" s="9" t="str">
        <f aca="false">VLOOKUP($P31,DM_TRANG_THAI!$A$4:$B$9,2,FALSE())</f>
        <v>P</v>
      </c>
    </row>
    <row r="32" customFormat="false" ht="15.75" hidden="false" customHeight="true" outlineLevel="0" collapsed="false">
      <c r="A32" s="9" t="n">
        <v>29</v>
      </c>
      <c r="B32" s="9" t="s">
        <v>76</v>
      </c>
      <c r="C32" s="10" t="str">
        <f aca="false">VLOOKUP($B32,DM_NHAN_VIEN!$B$4:$F$18,2,FALSE())</f>
        <v>Lý Văn Dũng</v>
      </c>
      <c r="D32" s="9" t="str">
        <f aca="false">VLOOKUP($B32,DM_NHAN_VIEN!$B$4:$F$18,3,FALSE())</f>
        <v>Xưởng sản xuất</v>
      </c>
      <c r="E32" s="9" t="str">
        <f aca="false">VLOOKUP($B32,DM_NHAN_VIEN!$B$4:$F$18,4,FALSE())</f>
        <v>Tổ trưởng</v>
      </c>
      <c r="F32" s="18" t="n">
        <v>46175</v>
      </c>
      <c r="G32" s="9" t="str">
        <f aca="false">CHOOSE(WEEKDAY(F32,2),"Thứ Hai","Thứ Ba","Thứ Tư","Thứ Năm","Thứ Sáu","Thứ Bảy","Chủ Nhật")</f>
        <v>Thứ Ba</v>
      </c>
      <c r="H32" s="9" t="str">
        <f aca="false">VLOOKUP($B32,DM_NHAN_VIEN!$B$4:$F$18,5,FALSE())</f>
        <v>Ca Hành Chính</v>
      </c>
      <c r="I32" s="9" t="str">
        <f aca="false">VLOOKUP($H32,DM_CA_LAM!$A$4:$C$6,2,FALSE())</f>
        <v>07:30</v>
      </c>
      <c r="J32" s="9" t="str">
        <f aca="false">VLOOKUP($H32,DM_CA_LAM!$A$4:$C$6,3,FALSE())</f>
        <v>17:30</v>
      </c>
      <c r="K32" s="9" t="s">
        <v>142</v>
      </c>
      <c r="L32" s="9" t="s">
        <v>170</v>
      </c>
      <c r="M32" s="9" t="n">
        <f aca="false">IF($K32="","",MAX(0,ROUND((TIMEVALUE($K32)-TIMEVALUE($I32))*1440,0)))</f>
        <v>0</v>
      </c>
      <c r="N32" s="9" t="n">
        <f aca="false">IF($L32="","",MAX(0,ROUND((TIMEVALUE($J32)-TIMEVALUE($L32))*1440,0)))</f>
        <v>0</v>
      </c>
      <c r="O32" s="9" t="n">
        <f aca="false">IF(OR($K32="",$L32=""),0,ROUND(VLOOKUP($H32,DM_CA_LAM!$A$4:$F$6,6,FALSE())-$M32/60-$N32/60,2))</f>
        <v>8</v>
      </c>
      <c r="P32" s="9" t="s">
        <v>108</v>
      </c>
      <c r="Q32" s="9" t="n">
        <v>0</v>
      </c>
      <c r="R32" s="10"/>
      <c r="S32" s="10"/>
      <c r="T32" s="9" t="str">
        <f aca="false">$B32&amp;"_"&amp;TEXT($F32,"yyyymmdd")</f>
        <v>NV029_20260602</v>
      </c>
      <c r="U32" s="9" t="str">
        <f aca="false">VLOOKUP($P32,DM_TRANG_THAI!$A$4:$B$9,2,FALSE())</f>
        <v>P</v>
      </c>
    </row>
    <row r="33" customFormat="false" ht="15.75" hidden="false" customHeight="true" outlineLevel="0" collapsed="false">
      <c r="A33" s="9" t="n">
        <v>30</v>
      </c>
      <c r="B33" s="9" t="s">
        <v>80</v>
      </c>
      <c r="C33" s="10" t="str">
        <f aca="false">VLOOKUP($B33,DM_NHAN_VIEN!$B$4:$F$18,2,FALSE())</f>
        <v>Tống Văn Thắng</v>
      </c>
      <c r="D33" s="9" t="str">
        <f aca="false">VLOOKUP($B33,DM_NHAN_VIEN!$B$4:$F$18,3,FALSE())</f>
        <v>Xưởng sản xuất</v>
      </c>
      <c r="E33" s="9" t="str">
        <f aca="false">VLOOKUP($B33,DM_NHAN_VIEN!$B$4:$F$18,4,FALSE())</f>
        <v>Tổ trưởng</v>
      </c>
      <c r="F33" s="18" t="n">
        <v>46175</v>
      </c>
      <c r="G33" s="9" t="str">
        <f aca="false">CHOOSE(WEEKDAY(F33,2),"Thứ Hai","Thứ Ba","Thứ Tư","Thứ Năm","Thứ Sáu","Thứ Bảy","Chủ Nhật")</f>
        <v>Thứ Ba</v>
      </c>
      <c r="H33" s="9" t="str">
        <f aca="false">VLOOKUP($B33,DM_NHAN_VIEN!$B$4:$F$18,5,FALSE())</f>
        <v>Ca Hành Chính</v>
      </c>
      <c r="I33" s="9" t="str">
        <f aca="false">VLOOKUP($H33,DM_CA_LAM!$A$4:$C$6,2,FALSE())</f>
        <v>07:30</v>
      </c>
      <c r="J33" s="9" t="str">
        <f aca="false">VLOOKUP($H33,DM_CA_LAM!$A$4:$C$6,3,FALSE())</f>
        <v>17:30</v>
      </c>
      <c r="K33" s="9" t="s">
        <v>150</v>
      </c>
      <c r="L33" s="9" t="s">
        <v>149</v>
      </c>
      <c r="M33" s="9" t="n">
        <f aca="false">IF($K33="","",MAX(0,ROUND((TIMEVALUE($K33)-TIMEVALUE($I33))*1440,0)))</f>
        <v>0</v>
      </c>
      <c r="N33" s="9" t="n">
        <f aca="false">IF($L33="","",MAX(0,ROUND((TIMEVALUE($J33)-TIMEVALUE($L33))*1440,0)))</f>
        <v>0</v>
      </c>
      <c r="O33" s="9" t="n">
        <f aca="false">IF(OR($K33="",$L33=""),0,ROUND(VLOOKUP($H33,DM_CA_LAM!$A$4:$F$6,6,FALSE())-$M33/60-$N33/60,2))</f>
        <v>8</v>
      </c>
      <c r="P33" s="9" t="s">
        <v>108</v>
      </c>
      <c r="Q33" s="9" t="n">
        <v>0</v>
      </c>
      <c r="R33" s="10"/>
      <c r="S33" s="10"/>
      <c r="T33" s="9" t="str">
        <f aca="false">$B33&amp;"_"&amp;TEXT($F33,"yyyymmdd")</f>
        <v>NV030_20260602</v>
      </c>
      <c r="U33" s="9" t="str">
        <f aca="false">VLOOKUP($P33,DM_TRANG_THAI!$A$4:$B$9,2,FALSE())</f>
        <v>P</v>
      </c>
    </row>
    <row r="34" customFormat="false" ht="15.75" hidden="false" customHeight="true" outlineLevel="0" collapsed="false">
      <c r="A34" s="9" t="n">
        <v>31</v>
      </c>
      <c r="B34" s="9" t="s">
        <v>24</v>
      </c>
      <c r="C34" s="10" t="str">
        <f aca="false">VLOOKUP($B34,DM_NHAN_VIEN!$B$4:$F$18,2,FALSE())</f>
        <v>Nguyễn Văn Giám Đốc</v>
      </c>
      <c r="D34" s="9" t="str">
        <f aca="false">VLOOKUP($B34,DM_NHAN_VIEN!$B$4:$F$18,3,FALSE())</f>
        <v>Hành chính</v>
      </c>
      <c r="E34" s="9" t="str">
        <f aca="false">VLOOKUP($B34,DM_NHAN_VIEN!$B$4:$F$18,4,FALSE())</f>
        <v>Giám đốc</v>
      </c>
      <c r="F34" s="18" t="n">
        <v>46176</v>
      </c>
      <c r="G34" s="9" t="str">
        <f aca="false">CHOOSE(WEEKDAY(F34,2),"Thứ Hai","Thứ Ba","Thứ Tư","Thứ Năm","Thứ Sáu","Thứ Bảy","Chủ Nhật")</f>
        <v>Thứ Tư</v>
      </c>
      <c r="H34" s="9" t="str">
        <f aca="false">VLOOKUP($B34,DM_NHAN_VIEN!$B$4:$F$18,5,FALSE())</f>
        <v>Ca Hành Chính</v>
      </c>
      <c r="I34" s="9" t="str">
        <f aca="false">VLOOKUP($H34,DM_CA_LAM!$A$4:$C$6,2,FALSE())</f>
        <v>07:30</v>
      </c>
      <c r="J34" s="9" t="str">
        <f aca="false">VLOOKUP($H34,DM_CA_LAM!$A$4:$C$6,3,FALSE())</f>
        <v>17:30</v>
      </c>
      <c r="K34" s="9" t="s">
        <v>160</v>
      </c>
      <c r="L34" s="9" t="s">
        <v>149</v>
      </c>
      <c r="M34" s="9" t="n">
        <f aca="false">IF($K34="","",MAX(0,ROUND((TIMEVALUE($K34)-TIMEVALUE($I34))*1440,0)))</f>
        <v>0</v>
      </c>
      <c r="N34" s="9" t="n">
        <f aca="false">IF($L34="","",MAX(0,ROUND((TIMEVALUE($J34)-TIMEVALUE($L34))*1440,0)))</f>
        <v>0</v>
      </c>
      <c r="O34" s="9" t="n">
        <f aca="false">IF(OR($K34="",$L34=""),0,ROUND(VLOOKUP($H34,DM_CA_LAM!$A$4:$F$6,6,FALSE())-$M34/60-$N34/60,2))</f>
        <v>8</v>
      </c>
      <c r="P34" s="9" t="s">
        <v>108</v>
      </c>
      <c r="Q34" s="9" t="n">
        <v>0</v>
      </c>
      <c r="R34" s="10"/>
      <c r="S34" s="10"/>
      <c r="T34" s="9" t="str">
        <f aca="false">$B34&amp;"_"&amp;TEXT($F34,"yyyymmdd")</f>
        <v>NV002_20260603</v>
      </c>
      <c r="U34" s="9" t="str">
        <f aca="false">VLOOKUP($P34,DM_TRANG_THAI!$A$4:$B$9,2,FALSE())</f>
        <v>P</v>
      </c>
    </row>
    <row r="35" customFormat="false" ht="15.75" hidden="false" customHeight="true" outlineLevel="0" collapsed="false">
      <c r="A35" s="9" t="n">
        <v>32</v>
      </c>
      <c r="B35" s="9" t="s">
        <v>30</v>
      </c>
      <c r="C35" s="10" t="str">
        <f aca="false">VLOOKUP($B35,DM_NHAN_VIEN!$B$4:$F$18,2,FALSE())</f>
        <v>Trần Thị Nhân Sự</v>
      </c>
      <c r="D35" s="9" t="str">
        <f aca="false">VLOOKUP($B35,DM_NHAN_VIEN!$B$4:$F$18,3,FALSE())</f>
        <v>Nhân sự</v>
      </c>
      <c r="E35" s="9" t="str">
        <f aca="false">VLOOKUP($B35,DM_NHAN_VIEN!$B$4:$F$18,4,FALSE())</f>
        <v>Trưởng phòng</v>
      </c>
      <c r="F35" s="18" t="n">
        <v>46176</v>
      </c>
      <c r="G35" s="9" t="str">
        <f aca="false">CHOOSE(WEEKDAY(F35,2),"Thứ Hai","Thứ Ba","Thứ Tư","Thứ Năm","Thứ Sáu","Thứ Bảy","Chủ Nhật")</f>
        <v>Thứ Tư</v>
      </c>
      <c r="H35" s="9" t="str">
        <f aca="false">VLOOKUP($B35,DM_NHAN_VIEN!$B$4:$F$18,5,FALSE())</f>
        <v>Ca Hành Chính</v>
      </c>
      <c r="I35" s="9" t="str">
        <f aca="false">VLOOKUP($H35,DM_CA_LAM!$A$4:$C$6,2,FALSE())</f>
        <v>07:30</v>
      </c>
      <c r="J35" s="9" t="str">
        <f aca="false">VLOOKUP($H35,DM_CA_LAM!$A$4:$C$6,3,FALSE())</f>
        <v>17:30</v>
      </c>
      <c r="K35" s="9" t="s">
        <v>147</v>
      </c>
      <c r="L35" s="9" t="s">
        <v>170</v>
      </c>
      <c r="M35" s="9" t="n">
        <f aca="false">IF($K35="","",MAX(0,ROUND((TIMEVALUE($K35)-TIMEVALUE($I35))*1440,0)))</f>
        <v>0</v>
      </c>
      <c r="N35" s="9" t="n">
        <f aca="false">IF($L35="","",MAX(0,ROUND((TIMEVALUE($J35)-TIMEVALUE($L35))*1440,0)))</f>
        <v>0</v>
      </c>
      <c r="O35" s="9" t="n">
        <f aca="false">IF(OR($K35="",$L35=""),0,ROUND(VLOOKUP($H35,DM_CA_LAM!$A$4:$F$6,6,FALSE())-$M35/60-$N35/60,2))</f>
        <v>8</v>
      </c>
      <c r="P35" s="9" t="s">
        <v>108</v>
      </c>
      <c r="Q35" s="9" t="n">
        <v>0</v>
      </c>
      <c r="R35" s="10"/>
      <c r="S35" s="10"/>
      <c r="T35" s="9" t="str">
        <f aca="false">$B35&amp;"_"&amp;TEXT($F35,"yyyymmdd")</f>
        <v>NV003_20260603</v>
      </c>
      <c r="U35" s="9" t="str">
        <f aca="false">VLOOKUP($P35,DM_TRANG_THAI!$A$4:$B$9,2,FALSE())</f>
        <v>P</v>
      </c>
    </row>
    <row r="36" customFormat="false" ht="15.75" hidden="false" customHeight="true" outlineLevel="0" collapsed="false">
      <c r="A36" s="9" t="n">
        <v>33</v>
      </c>
      <c r="B36" s="9" t="s">
        <v>35</v>
      </c>
      <c r="C36" s="10" t="str">
        <f aca="false">VLOOKUP($B36,DM_NHAN_VIEN!$B$4:$F$18,2,FALSE())</f>
        <v>Lê Văn Quản Đốc</v>
      </c>
      <c r="D36" s="9" t="str">
        <f aca="false">VLOOKUP($B36,DM_NHAN_VIEN!$B$4:$F$18,3,FALSE())</f>
        <v>Xưởng sản xuất</v>
      </c>
      <c r="E36" s="9" t="str">
        <f aca="false">VLOOKUP($B36,DM_NHAN_VIEN!$B$4:$F$18,4,FALSE())</f>
        <v>Quản đốc</v>
      </c>
      <c r="F36" s="18" t="n">
        <v>46176</v>
      </c>
      <c r="G36" s="9" t="str">
        <f aca="false">CHOOSE(WEEKDAY(F36,2),"Thứ Hai","Thứ Ba","Thứ Tư","Thứ Năm","Thứ Sáu","Thứ Bảy","Chủ Nhật")</f>
        <v>Thứ Tư</v>
      </c>
      <c r="H36" s="9" t="str">
        <f aca="false">VLOOKUP($B36,DM_NHAN_VIEN!$B$4:$F$18,5,FALSE())</f>
        <v>Ca Hành Chính</v>
      </c>
      <c r="I36" s="9" t="str">
        <f aca="false">VLOOKUP($H36,DM_CA_LAM!$A$4:$C$6,2,FALSE())</f>
        <v>07:30</v>
      </c>
      <c r="J36" s="9" t="str">
        <f aca="false">VLOOKUP($H36,DM_CA_LAM!$A$4:$C$6,3,FALSE())</f>
        <v>17:30</v>
      </c>
      <c r="K36" s="9" t="s">
        <v>150</v>
      </c>
      <c r="L36" s="9" t="s">
        <v>143</v>
      </c>
      <c r="M36" s="9" t="n">
        <f aca="false">IF($K36="","",MAX(0,ROUND((TIMEVALUE($K36)-TIMEVALUE($I36))*1440,0)))</f>
        <v>0</v>
      </c>
      <c r="N36" s="9" t="n">
        <f aca="false">IF($L36="","",MAX(0,ROUND((TIMEVALUE($J36)-TIMEVALUE($L36))*1440,0)))</f>
        <v>0</v>
      </c>
      <c r="O36" s="9" t="n">
        <f aca="false">IF(OR($K36="",$L36=""),0,ROUND(VLOOKUP($H36,DM_CA_LAM!$A$4:$F$6,6,FALSE())-$M36/60-$N36/60,2))</f>
        <v>8</v>
      </c>
      <c r="P36" s="9" t="s">
        <v>108</v>
      </c>
      <c r="Q36" s="9" t="n">
        <v>0</v>
      </c>
      <c r="R36" s="10"/>
      <c r="S36" s="10"/>
      <c r="T36" s="9" t="str">
        <f aca="false">$B36&amp;"_"&amp;TEXT($F36,"yyyymmdd")</f>
        <v>NV004_20260603</v>
      </c>
      <c r="U36" s="9" t="str">
        <f aca="false">VLOOKUP($P36,DM_TRANG_THAI!$A$4:$B$9,2,FALSE())</f>
        <v>P</v>
      </c>
    </row>
    <row r="37" customFormat="false" ht="15.75" hidden="false" customHeight="true" outlineLevel="0" collapsed="false">
      <c r="A37" s="9" t="n">
        <v>34</v>
      </c>
      <c r="B37" s="9" t="s">
        <v>40</v>
      </c>
      <c r="C37" s="10" t="str">
        <f aca="false">VLOOKUP($B37,DM_NHAN_VIEN!$B$4:$F$18,2,FALSE())</f>
        <v>Phạm Công Nhân</v>
      </c>
      <c r="D37" s="9" t="str">
        <f aca="false">VLOOKUP($B37,DM_NHAN_VIEN!$B$4:$F$18,3,FALSE())</f>
        <v>Xưởng sản xuất</v>
      </c>
      <c r="E37" s="9" t="str">
        <f aca="false">VLOOKUP($B37,DM_NHAN_VIEN!$B$4:$F$18,4,FALSE())</f>
        <v>Công nhân</v>
      </c>
      <c r="F37" s="18" t="n">
        <v>46176</v>
      </c>
      <c r="G37" s="9" t="str">
        <f aca="false">CHOOSE(WEEKDAY(F37,2),"Thứ Hai","Thứ Ba","Thứ Tư","Thứ Năm","Thứ Sáu","Thứ Bảy","Chủ Nhật")</f>
        <v>Thứ Tư</v>
      </c>
      <c r="H37" s="9" t="str">
        <f aca="false">VLOOKUP($B37,DM_NHAN_VIEN!$B$4:$F$18,5,FALSE())</f>
        <v>Ca Hành Chính</v>
      </c>
      <c r="I37" s="9" t="str">
        <f aca="false">VLOOKUP($H37,DM_CA_LAM!$A$4:$C$6,2,FALSE())</f>
        <v>07:30</v>
      </c>
      <c r="J37" s="9" t="str">
        <f aca="false">VLOOKUP($H37,DM_CA_LAM!$A$4:$C$6,3,FALSE())</f>
        <v>17:30</v>
      </c>
      <c r="K37" s="9" t="s">
        <v>160</v>
      </c>
      <c r="L37" s="9" t="s">
        <v>144</v>
      </c>
      <c r="M37" s="9" t="n">
        <f aca="false">IF($K37="","",MAX(0,ROUND((TIMEVALUE($K37)-TIMEVALUE($I37))*1440,0)))</f>
        <v>0</v>
      </c>
      <c r="N37" s="9" t="n">
        <f aca="false">IF($L37="","",MAX(0,ROUND((TIMEVALUE($J37)-TIMEVALUE($L37))*1440,0)))</f>
        <v>0</v>
      </c>
      <c r="O37" s="9" t="n">
        <f aca="false">IF(OR($K37="",$L37=""),0,ROUND(VLOOKUP($H37,DM_CA_LAM!$A$4:$F$6,6,FALSE())-$M37/60-$N37/60,2))</f>
        <v>8</v>
      </c>
      <c r="P37" s="9" t="s">
        <v>108</v>
      </c>
      <c r="Q37" s="9" t="n">
        <v>0</v>
      </c>
      <c r="R37" s="10"/>
      <c r="S37" s="10"/>
      <c r="T37" s="9" t="str">
        <f aca="false">$B37&amp;"_"&amp;TEXT($F37,"yyyymmdd")</f>
        <v>NV005_20260603</v>
      </c>
      <c r="U37" s="9" t="str">
        <f aca="false">VLOOKUP($P37,DM_TRANG_THAI!$A$4:$B$9,2,FALSE())</f>
        <v>P</v>
      </c>
    </row>
    <row r="38" customFormat="false" ht="15.75" hidden="false" customHeight="true" outlineLevel="0" collapsed="false">
      <c r="A38" s="9" t="n">
        <v>35</v>
      </c>
      <c r="B38" s="9" t="s">
        <v>44</v>
      </c>
      <c r="C38" s="10" t="str">
        <f aca="false">VLOOKUP($B38,DM_NHAN_VIEN!$B$4:$F$18,2,FALSE())</f>
        <v>Đỗ Thị Hà</v>
      </c>
      <c r="D38" s="9" t="str">
        <f aca="false">VLOOKUP($B38,DM_NHAN_VIEN!$B$4:$F$18,3,FALSE())</f>
        <v>Hành chính</v>
      </c>
      <c r="E38" s="9" t="str">
        <f aca="false">VLOOKUP($B38,DM_NHAN_VIEN!$B$4:$F$18,4,FALSE())</f>
        <v>Trưởng phòng</v>
      </c>
      <c r="F38" s="18" t="n">
        <v>46176</v>
      </c>
      <c r="G38" s="9" t="str">
        <f aca="false">CHOOSE(WEEKDAY(F38,2),"Thứ Hai","Thứ Ba","Thứ Tư","Thứ Năm","Thứ Sáu","Thứ Bảy","Chủ Nhật")</f>
        <v>Thứ Tư</v>
      </c>
      <c r="H38" s="9" t="str">
        <f aca="false">VLOOKUP($B38,DM_NHAN_VIEN!$B$4:$F$18,5,FALSE())</f>
        <v>Ca Hành Chính</v>
      </c>
      <c r="I38" s="9" t="str">
        <f aca="false">VLOOKUP($H38,DM_CA_LAM!$A$4:$C$6,2,FALSE())</f>
        <v>07:30</v>
      </c>
      <c r="J38" s="9" t="str">
        <f aca="false">VLOOKUP($H38,DM_CA_LAM!$A$4:$C$6,3,FALSE())</f>
        <v>17:30</v>
      </c>
      <c r="K38" s="9" t="s">
        <v>160</v>
      </c>
      <c r="L38" s="9" t="s">
        <v>159</v>
      </c>
      <c r="M38" s="9" t="n">
        <f aca="false">IF($K38="","",MAX(0,ROUND((TIMEVALUE($K38)-TIMEVALUE($I38))*1440,0)))</f>
        <v>0</v>
      </c>
      <c r="N38" s="9" t="n">
        <f aca="false">IF($L38="","",MAX(0,ROUND((TIMEVALUE($J38)-TIMEVALUE($L38))*1440,0)))</f>
        <v>0</v>
      </c>
      <c r="O38" s="9" t="n">
        <f aca="false">IF(OR($K38="",$L38=""),0,ROUND(VLOOKUP($H38,DM_CA_LAM!$A$4:$F$6,6,FALSE())-$M38/60-$N38/60,2))</f>
        <v>8</v>
      </c>
      <c r="P38" s="9" t="s">
        <v>108</v>
      </c>
      <c r="Q38" s="9" t="n">
        <v>0</v>
      </c>
      <c r="R38" s="10"/>
      <c r="S38" s="10"/>
      <c r="T38" s="9" t="str">
        <f aca="false">$B38&amp;"_"&amp;TEXT($F38,"yyyymmdd")</f>
        <v>NV006_20260603</v>
      </c>
      <c r="U38" s="9" t="str">
        <f aca="false">VLOOKUP($P38,DM_TRANG_THAI!$A$4:$B$9,2,FALSE())</f>
        <v>P</v>
      </c>
    </row>
    <row r="39" customFormat="false" ht="15.75" hidden="false" customHeight="true" outlineLevel="0" collapsed="false">
      <c r="A39" s="9" t="n">
        <v>36</v>
      </c>
      <c r="B39" s="9" t="s">
        <v>47</v>
      </c>
      <c r="C39" s="10" t="str">
        <f aca="false">VLOOKUP($B39,DM_NHAN_VIEN!$B$4:$F$18,2,FALSE())</f>
        <v>Ngô Văn Tài</v>
      </c>
      <c r="D39" s="9" t="str">
        <f aca="false">VLOOKUP($B39,DM_NHAN_VIEN!$B$4:$F$18,3,FALSE())</f>
        <v>Hành chính</v>
      </c>
      <c r="E39" s="9" t="str">
        <f aca="false">VLOOKUP($B39,DM_NHAN_VIEN!$B$4:$F$18,4,FALSE())</f>
        <v>Phó phòng</v>
      </c>
      <c r="F39" s="18" t="n">
        <v>46176</v>
      </c>
      <c r="G39" s="9" t="str">
        <f aca="false">CHOOSE(WEEKDAY(F39,2),"Thứ Hai","Thứ Ba","Thứ Tư","Thứ Năm","Thứ Sáu","Thứ Bảy","Chủ Nhật")</f>
        <v>Thứ Tư</v>
      </c>
      <c r="H39" s="9" t="str">
        <f aca="false">VLOOKUP($B39,DM_NHAN_VIEN!$B$4:$F$18,5,FALSE())</f>
        <v>Ca Hành Chính</v>
      </c>
      <c r="I39" s="9" t="str">
        <f aca="false">VLOOKUP($H39,DM_CA_LAM!$A$4:$C$6,2,FALSE())</f>
        <v>07:30</v>
      </c>
      <c r="J39" s="9" t="str">
        <f aca="false">VLOOKUP($H39,DM_CA_LAM!$A$4:$C$6,3,FALSE())</f>
        <v>17:30</v>
      </c>
      <c r="K39" s="9" t="s">
        <v>147</v>
      </c>
      <c r="L39" s="9" t="s">
        <v>93</v>
      </c>
      <c r="M39" s="9" t="n">
        <f aca="false">IF($K39="","",MAX(0,ROUND((TIMEVALUE($K39)-TIMEVALUE($I39))*1440,0)))</f>
        <v>0</v>
      </c>
      <c r="N39" s="9" t="n">
        <f aca="false">IF($L39="","",MAX(0,ROUND((TIMEVALUE($J39)-TIMEVALUE($L39))*1440,0)))</f>
        <v>0</v>
      </c>
      <c r="O39" s="9" t="n">
        <f aca="false">IF(OR($K39="",$L39=""),0,ROUND(VLOOKUP($H39,DM_CA_LAM!$A$4:$F$6,6,FALSE())-$M39/60-$N39/60,2))</f>
        <v>8</v>
      </c>
      <c r="P39" s="9" t="s">
        <v>108</v>
      </c>
      <c r="Q39" s="9" t="n">
        <v>0</v>
      </c>
      <c r="R39" s="10"/>
      <c r="S39" s="10"/>
      <c r="T39" s="9" t="str">
        <f aca="false">$B39&amp;"_"&amp;TEXT($F39,"yyyymmdd")</f>
        <v>NV007_20260603</v>
      </c>
      <c r="U39" s="9" t="str">
        <f aca="false">VLOOKUP($P39,DM_TRANG_THAI!$A$4:$B$9,2,FALSE())</f>
        <v>P</v>
      </c>
    </row>
    <row r="40" customFormat="false" ht="15.75" hidden="false" customHeight="true" outlineLevel="0" collapsed="false">
      <c r="A40" s="9" t="n">
        <v>37</v>
      </c>
      <c r="B40" s="9" t="s">
        <v>51</v>
      </c>
      <c r="C40" s="10" t="str">
        <f aca="false">VLOOKUP($B40,DM_NHAN_VIEN!$B$4:$F$18,2,FALSE())</f>
        <v>Vũ Thị Nga</v>
      </c>
      <c r="D40" s="9" t="str">
        <f aca="false">VLOOKUP($B40,DM_NHAN_VIEN!$B$4:$F$18,3,FALSE())</f>
        <v>Hành chính</v>
      </c>
      <c r="E40" s="9" t="str">
        <f aca="false">VLOOKUP($B40,DM_NHAN_VIEN!$B$4:$F$18,4,FALSE())</f>
        <v>Chuyên viên</v>
      </c>
      <c r="F40" s="18" t="n">
        <v>46176</v>
      </c>
      <c r="G40" s="9" t="str">
        <f aca="false">CHOOSE(WEEKDAY(F40,2),"Thứ Hai","Thứ Ba","Thứ Tư","Thứ Năm","Thứ Sáu","Thứ Bảy","Chủ Nhật")</f>
        <v>Thứ Tư</v>
      </c>
      <c r="H40" s="9" t="str">
        <f aca="false">VLOOKUP($B40,DM_NHAN_VIEN!$B$4:$F$18,5,FALSE())</f>
        <v>Ca Hành Chính</v>
      </c>
      <c r="I40" s="9" t="str">
        <f aca="false">VLOOKUP($H40,DM_CA_LAM!$A$4:$C$6,2,FALSE())</f>
        <v>07:30</v>
      </c>
      <c r="J40" s="9" t="str">
        <f aca="false">VLOOKUP($H40,DM_CA_LAM!$A$4:$C$6,3,FALSE())</f>
        <v>17:30</v>
      </c>
      <c r="K40" s="9" t="s">
        <v>171</v>
      </c>
      <c r="L40" s="9" t="s">
        <v>153</v>
      </c>
      <c r="M40" s="9" t="n">
        <f aca="false">IF($K40="","",MAX(0,ROUND((TIMEVALUE($K40)-TIMEVALUE($I40))*1440,0)))</f>
        <v>23</v>
      </c>
      <c r="N40" s="9" t="n">
        <f aca="false">IF($L40="","",MAX(0,ROUND((TIMEVALUE($J40)-TIMEVALUE($L40))*1440,0)))</f>
        <v>0</v>
      </c>
      <c r="O40" s="9" t="n">
        <f aca="false">IF(OR($K40="",$L40=""),0,ROUND(VLOOKUP($H40,DM_CA_LAM!$A$4:$F$6,6,FALSE())-$M40/60-$N40/60,2))</f>
        <v>7.62</v>
      </c>
      <c r="P40" s="9" t="s">
        <v>111</v>
      </c>
      <c r="Q40" s="9" t="n">
        <v>0</v>
      </c>
      <c r="R40" s="10"/>
      <c r="S40" s="10" t="s">
        <v>172</v>
      </c>
      <c r="T40" s="9" t="str">
        <f aca="false">$B40&amp;"_"&amp;TEXT($F40,"yyyymmdd")</f>
        <v>NV008_20260603</v>
      </c>
      <c r="U40" s="9" t="str">
        <f aca="false">VLOOKUP($P40,DM_TRANG_THAI!$A$4:$B$9,2,FALSE())</f>
        <v>L</v>
      </c>
    </row>
    <row r="41" customFormat="false" ht="15.75" hidden="false" customHeight="true" outlineLevel="0" collapsed="false">
      <c r="A41" s="9" t="n">
        <v>38</v>
      </c>
      <c r="B41" s="9" t="s">
        <v>55</v>
      </c>
      <c r="C41" s="10" t="str">
        <f aca="false">VLOOKUP($B41,DM_NHAN_VIEN!$B$4:$F$18,2,FALSE())</f>
        <v>Đặng Thị Hồng</v>
      </c>
      <c r="D41" s="9" t="str">
        <f aca="false">VLOOKUP($B41,DM_NHAN_VIEN!$B$4:$F$18,3,FALSE())</f>
        <v>Nhân sự</v>
      </c>
      <c r="E41" s="9" t="str">
        <f aca="false">VLOOKUP($B41,DM_NHAN_VIEN!$B$4:$F$18,4,FALSE())</f>
        <v>Chuyên viên</v>
      </c>
      <c r="F41" s="18" t="n">
        <v>46176</v>
      </c>
      <c r="G41" s="9" t="str">
        <f aca="false">CHOOSE(WEEKDAY(F41,2),"Thứ Hai","Thứ Ba","Thứ Tư","Thứ Năm","Thứ Sáu","Thứ Bảy","Chủ Nhật")</f>
        <v>Thứ Tư</v>
      </c>
      <c r="H41" s="9" t="str">
        <f aca="false">VLOOKUP($B41,DM_NHAN_VIEN!$B$4:$F$18,5,FALSE())</f>
        <v>Ca Hành Chính</v>
      </c>
      <c r="I41" s="9" t="str">
        <f aca="false">VLOOKUP($H41,DM_CA_LAM!$A$4:$C$6,2,FALSE())</f>
        <v>07:30</v>
      </c>
      <c r="J41" s="9" t="str">
        <f aca="false">VLOOKUP($H41,DM_CA_LAM!$A$4:$C$6,3,FALSE())</f>
        <v>17:30</v>
      </c>
      <c r="K41" s="9" t="s">
        <v>167</v>
      </c>
      <c r="L41" s="9" t="s">
        <v>159</v>
      </c>
      <c r="M41" s="9" t="n">
        <f aca="false">IF($K41="","",MAX(0,ROUND((TIMEVALUE($K41)-TIMEVALUE($I41))*1440,0)))</f>
        <v>0</v>
      </c>
      <c r="N41" s="9" t="n">
        <f aca="false">IF($L41="","",MAX(0,ROUND((TIMEVALUE($J41)-TIMEVALUE($L41))*1440,0)))</f>
        <v>0</v>
      </c>
      <c r="O41" s="9" t="n">
        <f aca="false">IF(OR($K41="",$L41=""),0,ROUND(VLOOKUP($H41,DM_CA_LAM!$A$4:$F$6,6,FALSE())-$M41/60-$N41/60,2))</f>
        <v>8</v>
      </c>
      <c r="P41" s="9" t="s">
        <v>108</v>
      </c>
      <c r="Q41" s="9" t="n">
        <v>0</v>
      </c>
      <c r="R41" s="10"/>
      <c r="S41" s="10"/>
      <c r="T41" s="9" t="str">
        <f aca="false">$B41&amp;"_"&amp;TEXT($F41,"yyyymmdd")</f>
        <v>NV010_20260603</v>
      </c>
      <c r="U41" s="9" t="str">
        <f aca="false">VLOOKUP($P41,DM_TRANG_THAI!$A$4:$B$9,2,FALSE())</f>
        <v>P</v>
      </c>
    </row>
    <row r="42" customFormat="false" ht="15.75" hidden="false" customHeight="true" outlineLevel="0" collapsed="false">
      <c r="A42" s="9" t="n">
        <v>39</v>
      </c>
      <c r="B42" s="9" t="s">
        <v>58</v>
      </c>
      <c r="C42" s="10" t="str">
        <f aca="false">VLOOKUP($B42,DM_NHAN_VIEN!$B$4:$F$18,2,FALSE())</f>
        <v>Chu Văn Minh</v>
      </c>
      <c r="D42" s="9" t="str">
        <f aca="false">VLOOKUP($B42,DM_NHAN_VIEN!$B$4:$F$18,3,FALSE())</f>
        <v>Nhân sự</v>
      </c>
      <c r="E42" s="9" t="str">
        <f aca="false">VLOOKUP($B42,DM_NHAN_VIEN!$B$4:$F$18,4,FALSE())</f>
        <v>Chuyên viên</v>
      </c>
      <c r="F42" s="18" t="n">
        <v>46176</v>
      </c>
      <c r="G42" s="9" t="str">
        <f aca="false">CHOOSE(WEEKDAY(F42,2),"Thứ Hai","Thứ Ba","Thứ Tư","Thứ Năm","Thứ Sáu","Thứ Bảy","Chủ Nhật")</f>
        <v>Thứ Tư</v>
      </c>
      <c r="H42" s="9" t="str">
        <f aca="false">VLOOKUP($B42,DM_NHAN_VIEN!$B$4:$F$18,5,FALSE())</f>
        <v>Ca Hành Chính</v>
      </c>
      <c r="I42" s="9" t="str">
        <f aca="false">VLOOKUP($H42,DM_CA_LAM!$A$4:$C$6,2,FALSE())</f>
        <v>07:30</v>
      </c>
      <c r="J42" s="9" t="str">
        <f aca="false">VLOOKUP($H42,DM_CA_LAM!$A$4:$C$6,3,FALSE())</f>
        <v>17:30</v>
      </c>
      <c r="K42" s="9" t="s">
        <v>167</v>
      </c>
      <c r="L42" s="9" t="s">
        <v>170</v>
      </c>
      <c r="M42" s="9" t="n">
        <f aca="false">IF($K42="","",MAX(0,ROUND((TIMEVALUE($K42)-TIMEVALUE($I42))*1440,0)))</f>
        <v>0</v>
      </c>
      <c r="N42" s="9" t="n">
        <f aca="false">IF($L42="","",MAX(0,ROUND((TIMEVALUE($J42)-TIMEVALUE($L42))*1440,0)))</f>
        <v>0</v>
      </c>
      <c r="O42" s="9" t="n">
        <f aca="false">IF(OR($K42="",$L42=""),0,ROUND(VLOOKUP($H42,DM_CA_LAM!$A$4:$F$6,6,FALSE())-$M42/60-$N42/60,2))</f>
        <v>8</v>
      </c>
      <c r="P42" s="9" t="s">
        <v>108</v>
      </c>
      <c r="Q42" s="9" t="n">
        <v>0</v>
      </c>
      <c r="R42" s="10"/>
      <c r="S42" s="10"/>
      <c r="T42" s="9" t="str">
        <f aca="false">$B42&amp;"_"&amp;TEXT($F42,"yyyymmdd")</f>
        <v>NV011_20260603</v>
      </c>
      <c r="U42" s="9" t="str">
        <f aca="false">VLOOKUP($P42,DM_TRANG_THAI!$A$4:$B$9,2,FALSE())</f>
        <v>P</v>
      </c>
    </row>
    <row r="43" customFormat="false" ht="15.75" hidden="false" customHeight="true" outlineLevel="0" collapsed="false">
      <c r="A43" s="9" t="n">
        <v>40</v>
      </c>
      <c r="B43" s="9" t="s">
        <v>61</v>
      </c>
      <c r="C43" s="10" t="str">
        <f aca="false">VLOOKUP($B43,DM_NHAN_VIEN!$B$4:$F$18,2,FALSE())</f>
        <v>Phan Thị Khánh</v>
      </c>
      <c r="D43" s="9" t="str">
        <f aca="false">VLOOKUP($B43,DM_NHAN_VIEN!$B$4:$F$18,3,FALSE())</f>
        <v>Kế toán</v>
      </c>
      <c r="E43" s="9" t="str">
        <f aca="false">VLOOKUP($B43,DM_NHAN_VIEN!$B$4:$F$18,4,FALSE())</f>
        <v>Trưởng phòng</v>
      </c>
      <c r="F43" s="18" t="n">
        <v>46176</v>
      </c>
      <c r="G43" s="9" t="str">
        <f aca="false">CHOOSE(WEEKDAY(F43,2),"Thứ Hai","Thứ Ba","Thứ Tư","Thứ Năm","Thứ Sáu","Thứ Bảy","Chủ Nhật")</f>
        <v>Thứ Tư</v>
      </c>
      <c r="H43" s="9" t="str">
        <f aca="false">VLOOKUP($B43,DM_NHAN_VIEN!$B$4:$F$18,5,FALSE())</f>
        <v>Ca Hành Chính</v>
      </c>
      <c r="I43" s="9" t="str">
        <f aca="false">VLOOKUP($H43,DM_CA_LAM!$A$4:$C$6,2,FALSE())</f>
        <v>07:30</v>
      </c>
      <c r="J43" s="9" t="str">
        <f aca="false">VLOOKUP($H43,DM_CA_LAM!$A$4:$C$6,3,FALSE())</f>
        <v>17:30</v>
      </c>
      <c r="K43" s="9" t="s">
        <v>92</v>
      </c>
      <c r="L43" s="9" t="s">
        <v>159</v>
      </c>
      <c r="M43" s="9" t="n">
        <f aca="false">IF($K43="","",MAX(0,ROUND((TIMEVALUE($K43)-TIMEVALUE($I43))*1440,0)))</f>
        <v>0</v>
      </c>
      <c r="N43" s="9" t="n">
        <f aca="false">IF($L43="","",MAX(0,ROUND((TIMEVALUE($J43)-TIMEVALUE($L43))*1440,0)))</f>
        <v>0</v>
      </c>
      <c r="O43" s="9" t="n">
        <f aca="false">IF(OR($K43="",$L43=""),0,ROUND(VLOOKUP($H43,DM_CA_LAM!$A$4:$F$6,6,FALSE())-$M43/60-$N43/60,2))</f>
        <v>8</v>
      </c>
      <c r="P43" s="9" t="s">
        <v>108</v>
      </c>
      <c r="Q43" s="9" t="n">
        <v>0</v>
      </c>
      <c r="R43" s="10"/>
      <c r="S43" s="10"/>
      <c r="T43" s="9" t="str">
        <f aca="false">$B43&amp;"_"&amp;TEXT($F43,"yyyymmdd")</f>
        <v>NV014_20260603</v>
      </c>
      <c r="U43" s="9" t="str">
        <f aca="false">VLOOKUP($P43,DM_TRANG_THAI!$A$4:$B$9,2,FALSE())</f>
        <v>P</v>
      </c>
    </row>
    <row r="44" customFormat="false" ht="15.75" hidden="false" customHeight="true" outlineLevel="0" collapsed="false">
      <c r="A44" s="9" t="n">
        <v>41</v>
      </c>
      <c r="B44" s="9" t="s">
        <v>65</v>
      </c>
      <c r="C44" s="10" t="str">
        <f aca="false">VLOOKUP($B44,DM_NHAN_VIEN!$B$4:$F$18,2,FALSE())</f>
        <v>Trịnh Văn Hùng</v>
      </c>
      <c r="D44" s="9" t="str">
        <f aca="false">VLOOKUP($B44,DM_NHAN_VIEN!$B$4:$F$18,3,FALSE())</f>
        <v>Kế toán</v>
      </c>
      <c r="E44" s="9" t="str">
        <f aca="false">VLOOKUP($B44,DM_NHAN_VIEN!$B$4:$F$18,4,FALSE())</f>
        <v>Phó phòng</v>
      </c>
      <c r="F44" s="18" t="n">
        <v>46176</v>
      </c>
      <c r="G44" s="9" t="str">
        <f aca="false">CHOOSE(WEEKDAY(F44,2),"Thứ Hai","Thứ Ba","Thứ Tư","Thứ Năm","Thứ Sáu","Thứ Bảy","Chủ Nhật")</f>
        <v>Thứ Tư</v>
      </c>
      <c r="H44" s="9" t="str">
        <f aca="false">VLOOKUP($B44,DM_NHAN_VIEN!$B$4:$F$18,5,FALSE())</f>
        <v>Ca Hành Chính</v>
      </c>
      <c r="I44" s="9" t="str">
        <f aca="false">VLOOKUP($H44,DM_CA_LAM!$A$4:$C$6,2,FALSE())</f>
        <v>07:30</v>
      </c>
      <c r="J44" s="9" t="str">
        <f aca="false">VLOOKUP($H44,DM_CA_LAM!$A$4:$C$6,3,FALSE())</f>
        <v>17:30</v>
      </c>
      <c r="K44" s="9" t="s">
        <v>92</v>
      </c>
      <c r="L44" s="9" t="s">
        <v>143</v>
      </c>
      <c r="M44" s="9" t="n">
        <f aca="false">IF($K44="","",MAX(0,ROUND((TIMEVALUE($K44)-TIMEVALUE($I44))*1440,0)))</f>
        <v>0</v>
      </c>
      <c r="N44" s="9" t="n">
        <f aca="false">IF($L44="","",MAX(0,ROUND((TIMEVALUE($J44)-TIMEVALUE($L44))*1440,0)))</f>
        <v>0</v>
      </c>
      <c r="O44" s="9" t="n">
        <f aca="false">IF(OR($K44="",$L44=""),0,ROUND(VLOOKUP($H44,DM_CA_LAM!$A$4:$F$6,6,FALSE())-$M44/60-$N44/60,2))</f>
        <v>8</v>
      </c>
      <c r="P44" s="9" t="s">
        <v>108</v>
      </c>
      <c r="Q44" s="9" t="n">
        <v>0</v>
      </c>
      <c r="R44" s="10"/>
      <c r="S44" s="10"/>
      <c r="T44" s="9" t="str">
        <f aca="false">$B44&amp;"_"&amp;TEXT($F44,"yyyymmdd")</f>
        <v>NV015_20260603</v>
      </c>
      <c r="U44" s="9" t="str">
        <f aca="false">VLOOKUP($P44,DM_TRANG_THAI!$A$4:$B$9,2,FALSE())</f>
        <v>P</v>
      </c>
    </row>
    <row r="45" customFormat="false" ht="15.75" hidden="false" customHeight="true" outlineLevel="0" collapsed="false">
      <c r="A45" s="9" t="n">
        <v>42</v>
      </c>
      <c r="B45" s="9" t="s">
        <v>68</v>
      </c>
      <c r="C45" s="10" t="str">
        <f aca="false">VLOOKUP($B45,DM_NHAN_VIEN!$B$4:$F$18,2,FALSE())</f>
        <v>Hoàng Văn Lộc</v>
      </c>
      <c r="D45" s="9" t="str">
        <f aca="false">VLOOKUP($B45,DM_NHAN_VIEN!$B$4:$F$18,3,FALSE())</f>
        <v>Kinh doanh</v>
      </c>
      <c r="E45" s="9" t="str">
        <f aca="false">VLOOKUP($B45,DM_NHAN_VIEN!$B$4:$F$18,4,FALSE())</f>
        <v>Trưởng phòng</v>
      </c>
      <c r="F45" s="18" t="n">
        <v>46176</v>
      </c>
      <c r="G45" s="9" t="str">
        <f aca="false">CHOOSE(WEEKDAY(F45,2),"Thứ Hai","Thứ Ba","Thứ Tư","Thứ Năm","Thứ Sáu","Thứ Bảy","Chủ Nhật")</f>
        <v>Thứ Tư</v>
      </c>
      <c r="H45" s="9" t="str">
        <f aca="false">VLOOKUP($B45,DM_NHAN_VIEN!$B$4:$F$18,5,FALSE())</f>
        <v>Ca Hành Chính</v>
      </c>
      <c r="I45" s="9" t="str">
        <f aca="false">VLOOKUP($H45,DM_CA_LAM!$A$4:$C$6,2,FALSE())</f>
        <v>07:30</v>
      </c>
      <c r="J45" s="9" t="str">
        <f aca="false">VLOOKUP($H45,DM_CA_LAM!$A$4:$C$6,3,FALSE())</f>
        <v>17:30</v>
      </c>
      <c r="K45" s="9" t="s">
        <v>158</v>
      </c>
      <c r="L45" s="9" t="s">
        <v>144</v>
      </c>
      <c r="M45" s="9" t="n">
        <f aca="false">IF($K45="","",MAX(0,ROUND((TIMEVALUE($K45)-TIMEVALUE($I45))*1440,0)))</f>
        <v>0</v>
      </c>
      <c r="N45" s="9" t="n">
        <f aca="false">IF($L45="","",MAX(0,ROUND((TIMEVALUE($J45)-TIMEVALUE($L45))*1440,0)))</f>
        <v>0</v>
      </c>
      <c r="O45" s="9" t="n">
        <f aca="false">IF(OR($K45="",$L45=""),0,ROUND(VLOOKUP($H45,DM_CA_LAM!$A$4:$F$6,6,FALSE())-$M45/60-$N45/60,2))</f>
        <v>8</v>
      </c>
      <c r="P45" s="9" t="s">
        <v>108</v>
      </c>
      <c r="Q45" s="9" t="n">
        <v>0</v>
      </c>
      <c r="R45" s="10"/>
      <c r="S45" s="10"/>
      <c r="T45" s="9" t="str">
        <f aca="false">$B45&amp;"_"&amp;TEXT($F45,"yyyymmdd")</f>
        <v>NV019_20260603</v>
      </c>
      <c r="U45" s="9" t="str">
        <f aca="false">VLOOKUP($P45,DM_TRANG_THAI!$A$4:$B$9,2,FALSE())</f>
        <v>P</v>
      </c>
    </row>
    <row r="46" customFormat="false" ht="15.75" hidden="false" customHeight="true" outlineLevel="0" collapsed="false">
      <c r="A46" s="9" t="n">
        <v>43</v>
      </c>
      <c r="B46" s="9" t="s">
        <v>72</v>
      </c>
      <c r="C46" s="10" t="str">
        <f aca="false">VLOOKUP($B46,DM_NHAN_VIEN!$B$4:$F$18,2,FALSE())</f>
        <v>Nguyễn Văn Phú</v>
      </c>
      <c r="D46" s="9" t="str">
        <f aca="false">VLOOKUP($B46,DM_NHAN_VIEN!$B$4:$F$18,3,FALSE())</f>
        <v>Kinh doanh</v>
      </c>
      <c r="E46" s="9" t="str">
        <f aca="false">VLOOKUP($B46,DM_NHAN_VIEN!$B$4:$F$18,4,FALSE())</f>
        <v>Nhân viên</v>
      </c>
      <c r="F46" s="18" t="n">
        <v>46176</v>
      </c>
      <c r="G46" s="9" t="str">
        <f aca="false">CHOOSE(WEEKDAY(F46,2),"Thứ Hai","Thứ Ba","Thứ Tư","Thứ Năm","Thứ Sáu","Thứ Bảy","Chủ Nhật")</f>
        <v>Thứ Tư</v>
      </c>
      <c r="H46" s="9" t="str">
        <f aca="false">VLOOKUP($B46,DM_NHAN_VIEN!$B$4:$F$18,5,FALSE())</f>
        <v>Ca Hành Chính</v>
      </c>
      <c r="I46" s="9" t="str">
        <f aca="false">VLOOKUP($H46,DM_CA_LAM!$A$4:$C$6,2,FALSE())</f>
        <v>07:30</v>
      </c>
      <c r="J46" s="9" t="str">
        <f aca="false">VLOOKUP($H46,DM_CA_LAM!$A$4:$C$6,3,FALSE())</f>
        <v>17:30</v>
      </c>
      <c r="K46" s="9" t="s">
        <v>147</v>
      </c>
      <c r="L46" s="9" t="s">
        <v>164</v>
      </c>
      <c r="M46" s="9" t="n">
        <f aca="false">IF($K46="","",MAX(0,ROUND((TIMEVALUE($K46)-TIMEVALUE($I46))*1440,0)))</f>
        <v>0</v>
      </c>
      <c r="N46" s="9" t="n">
        <f aca="false">IF($L46="","",MAX(0,ROUND((TIMEVALUE($J46)-TIMEVALUE($L46))*1440,0)))</f>
        <v>0</v>
      </c>
      <c r="O46" s="9" t="n">
        <f aca="false">IF(OR($K46="",$L46=""),0,ROUND(VLOOKUP($H46,DM_CA_LAM!$A$4:$F$6,6,FALSE())-$M46/60-$N46/60,2))</f>
        <v>8</v>
      </c>
      <c r="P46" s="9" t="s">
        <v>108</v>
      </c>
      <c r="Q46" s="9" t="n">
        <v>0</v>
      </c>
      <c r="R46" s="10"/>
      <c r="S46" s="10"/>
      <c r="T46" s="9" t="str">
        <f aca="false">$B46&amp;"_"&amp;TEXT($F46,"yyyymmdd")</f>
        <v>NV021_20260603</v>
      </c>
      <c r="U46" s="9" t="str">
        <f aca="false">VLOOKUP($P46,DM_TRANG_THAI!$A$4:$B$9,2,FALSE())</f>
        <v>P</v>
      </c>
    </row>
    <row r="47" customFormat="false" ht="15.75" hidden="false" customHeight="true" outlineLevel="0" collapsed="false">
      <c r="A47" s="9" t="n">
        <v>44</v>
      </c>
      <c r="B47" s="9" t="s">
        <v>76</v>
      </c>
      <c r="C47" s="10" t="str">
        <f aca="false">VLOOKUP($B47,DM_NHAN_VIEN!$B$4:$F$18,2,FALSE())</f>
        <v>Lý Văn Dũng</v>
      </c>
      <c r="D47" s="9" t="str">
        <f aca="false">VLOOKUP($B47,DM_NHAN_VIEN!$B$4:$F$18,3,FALSE())</f>
        <v>Xưởng sản xuất</v>
      </c>
      <c r="E47" s="9" t="str">
        <f aca="false">VLOOKUP($B47,DM_NHAN_VIEN!$B$4:$F$18,4,FALSE())</f>
        <v>Tổ trưởng</v>
      </c>
      <c r="F47" s="18" t="n">
        <v>46176</v>
      </c>
      <c r="G47" s="9" t="str">
        <f aca="false">CHOOSE(WEEKDAY(F47,2),"Thứ Hai","Thứ Ba","Thứ Tư","Thứ Năm","Thứ Sáu","Thứ Bảy","Chủ Nhật")</f>
        <v>Thứ Tư</v>
      </c>
      <c r="H47" s="9" t="str">
        <f aca="false">VLOOKUP($B47,DM_NHAN_VIEN!$B$4:$F$18,5,FALSE())</f>
        <v>Ca Hành Chính</v>
      </c>
      <c r="I47" s="9" t="str">
        <f aca="false">VLOOKUP($H47,DM_CA_LAM!$A$4:$C$6,2,FALSE())</f>
        <v>07:30</v>
      </c>
      <c r="J47" s="9" t="str">
        <f aca="false">VLOOKUP($H47,DM_CA_LAM!$A$4:$C$6,3,FALSE())</f>
        <v>17:30</v>
      </c>
      <c r="K47" s="9" t="s">
        <v>156</v>
      </c>
      <c r="L47" s="9" t="s">
        <v>146</v>
      </c>
      <c r="M47" s="9" t="n">
        <f aca="false">IF($K47="","",MAX(0,ROUND((TIMEVALUE($K47)-TIMEVALUE($I47))*1440,0)))</f>
        <v>0</v>
      </c>
      <c r="N47" s="9" t="n">
        <f aca="false">IF($L47="","",MAX(0,ROUND((TIMEVALUE($J47)-TIMEVALUE($L47))*1440,0)))</f>
        <v>0</v>
      </c>
      <c r="O47" s="9" t="n">
        <f aca="false">IF(OR($K47="",$L47=""),0,ROUND(VLOOKUP($H47,DM_CA_LAM!$A$4:$F$6,6,FALSE())-$M47/60-$N47/60,2))</f>
        <v>8</v>
      </c>
      <c r="P47" s="9" t="s">
        <v>108</v>
      </c>
      <c r="Q47" s="9" t="n">
        <v>0</v>
      </c>
      <c r="R47" s="10"/>
      <c r="S47" s="10"/>
      <c r="T47" s="9" t="str">
        <f aca="false">$B47&amp;"_"&amp;TEXT($F47,"yyyymmdd")</f>
        <v>NV029_20260603</v>
      </c>
      <c r="U47" s="9" t="str">
        <f aca="false">VLOOKUP($P47,DM_TRANG_THAI!$A$4:$B$9,2,FALSE())</f>
        <v>P</v>
      </c>
    </row>
    <row r="48" customFormat="false" ht="15.75" hidden="false" customHeight="true" outlineLevel="0" collapsed="false">
      <c r="A48" s="9" t="n">
        <v>45</v>
      </c>
      <c r="B48" s="9" t="s">
        <v>80</v>
      </c>
      <c r="C48" s="10" t="str">
        <f aca="false">VLOOKUP($B48,DM_NHAN_VIEN!$B$4:$F$18,2,FALSE())</f>
        <v>Tống Văn Thắng</v>
      </c>
      <c r="D48" s="9" t="str">
        <f aca="false">VLOOKUP($B48,DM_NHAN_VIEN!$B$4:$F$18,3,FALSE())</f>
        <v>Xưởng sản xuất</v>
      </c>
      <c r="E48" s="9" t="str">
        <f aca="false">VLOOKUP($B48,DM_NHAN_VIEN!$B$4:$F$18,4,FALSE())</f>
        <v>Tổ trưởng</v>
      </c>
      <c r="F48" s="18" t="n">
        <v>46176</v>
      </c>
      <c r="G48" s="9" t="str">
        <f aca="false">CHOOSE(WEEKDAY(F48,2),"Thứ Hai","Thứ Ba","Thứ Tư","Thứ Năm","Thứ Sáu","Thứ Bảy","Chủ Nhật")</f>
        <v>Thứ Tư</v>
      </c>
      <c r="H48" s="9" t="str">
        <f aca="false">VLOOKUP($B48,DM_NHAN_VIEN!$B$4:$F$18,5,FALSE())</f>
        <v>Ca Hành Chính</v>
      </c>
      <c r="I48" s="9" t="str">
        <f aca="false">VLOOKUP($H48,DM_CA_LAM!$A$4:$C$6,2,FALSE())</f>
        <v>07:30</v>
      </c>
      <c r="J48" s="9" t="str">
        <f aca="false">VLOOKUP($H48,DM_CA_LAM!$A$4:$C$6,3,FALSE())</f>
        <v>17:30</v>
      </c>
      <c r="K48" s="9" t="s">
        <v>161</v>
      </c>
      <c r="L48" s="9" t="s">
        <v>164</v>
      </c>
      <c r="M48" s="9" t="n">
        <f aca="false">IF($K48="","",MAX(0,ROUND((TIMEVALUE($K48)-TIMEVALUE($I48))*1440,0)))</f>
        <v>0</v>
      </c>
      <c r="N48" s="9" t="n">
        <f aca="false">IF($L48="","",MAX(0,ROUND((TIMEVALUE($J48)-TIMEVALUE($L48))*1440,0)))</f>
        <v>0</v>
      </c>
      <c r="O48" s="9" t="n">
        <f aca="false">IF(OR($K48="",$L48=""),0,ROUND(VLOOKUP($H48,DM_CA_LAM!$A$4:$F$6,6,FALSE())-$M48/60-$N48/60,2))</f>
        <v>8</v>
      </c>
      <c r="P48" s="9" t="s">
        <v>108</v>
      </c>
      <c r="Q48" s="9" t="n">
        <v>0</v>
      </c>
      <c r="R48" s="10"/>
      <c r="S48" s="10"/>
      <c r="T48" s="9" t="str">
        <f aca="false">$B48&amp;"_"&amp;TEXT($F48,"yyyymmdd")</f>
        <v>NV030_20260603</v>
      </c>
      <c r="U48" s="9" t="str">
        <f aca="false">VLOOKUP($P48,DM_TRANG_THAI!$A$4:$B$9,2,FALSE())</f>
        <v>P</v>
      </c>
    </row>
    <row r="49" customFormat="false" ht="15.75" hidden="false" customHeight="true" outlineLevel="0" collapsed="false">
      <c r="A49" s="9" t="n">
        <v>46</v>
      </c>
      <c r="B49" s="9" t="s">
        <v>24</v>
      </c>
      <c r="C49" s="10" t="str">
        <f aca="false">VLOOKUP($B49,DM_NHAN_VIEN!$B$4:$F$18,2,FALSE())</f>
        <v>Nguyễn Văn Giám Đốc</v>
      </c>
      <c r="D49" s="9" t="str">
        <f aca="false">VLOOKUP($B49,DM_NHAN_VIEN!$B$4:$F$18,3,FALSE())</f>
        <v>Hành chính</v>
      </c>
      <c r="E49" s="9" t="str">
        <f aca="false">VLOOKUP($B49,DM_NHAN_VIEN!$B$4:$F$18,4,FALSE())</f>
        <v>Giám đốc</v>
      </c>
      <c r="F49" s="18" t="n">
        <v>46177</v>
      </c>
      <c r="G49" s="9" t="str">
        <f aca="false">CHOOSE(WEEKDAY(F49,2),"Thứ Hai","Thứ Ba","Thứ Tư","Thứ Năm","Thứ Sáu","Thứ Bảy","Chủ Nhật")</f>
        <v>Thứ Năm</v>
      </c>
      <c r="H49" s="9" t="str">
        <f aca="false">VLOOKUP($B49,DM_NHAN_VIEN!$B$4:$F$18,5,FALSE())</f>
        <v>Ca Hành Chính</v>
      </c>
      <c r="I49" s="9" t="str">
        <f aca="false">VLOOKUP($H49,DM_CA_LAM!$A$4:$C$6,2,FALSE())</f>
        <v>07:30</v>
      </c>
      <c r="J49" s="9" t="str">
        <f aca="false">VLOOKUP($H49,DM_CA_LAM!$A$4:$C$6,3,FALSE())</f>
        <v>17:30</v>
      </c>
      <c r="K49" s="9" t="s">
        <v>148</v>
      </c>
      <c r="L49" s="9" t="s">
        <v>149</v>
      </c>
      <c r="M49" s="9" t="n">
        <f aca="false">IF($K49="","",MAX(0,ROUND((TIMEVALUE($K49)-TIMEVALUE($I49))*1440,0)))</f>
        <v>0</v>
      </c>
      <c r="N49" s="9" t="n">
        <f aca="false">IF($L49="","",MAX(0,ROUND((TIMEVALUE($J49)-TIMEVALUE($L49))*1440,0)))</f>
        <v>0</v>
      </c>
      <c r="O49" s="9" t="n">
        <f aca="false">IF(OR($K49="",$L49=""),0,ROUND(VLOOKUP($H49,DM_CA_LAM!$A$4:$F$6,6,FALSE())-$M49/60-$N49/60,2))</f>
        <v>8</v>
      </c>
      <c r="P49" s="9" t="s">
        <v>108</v>
      </c>
      <c r="Q49" s="9" t="n">
        <v>0</v>
      </c>
      <c r="R49" s="10"/>
      <c r="S49" s="10"/>
      <c r="T49" s="9" t="str">
        <f aca="false">$B49&amp;"_"&amp;TEXT($F49,"yyyymmdd")</f>
        <v>NV002_20260604</v>
      </c>
      <c r="U49" s="9" t="str">
        <f aca="false">VLOOKUP($P49,DM_TRANG_THAI!$A$4:$B$9,2,FALSE())</f>
        <v>P</v>
      </c>
    </row>
    <row r="50" customFormat="false" ht="15.75" hidden="false" customHeight="true" outlineLevel="0" collapsed="false">
      <c r="A50" s="9" t="n">
        <v>47</v>
      </c>
      <c r="B50" s="9" t="s">
        <v>30</v>
      </c>
      <c r="C50" s="10" t="str">
        <f aca="false">VLOOKUP($B50,DM_NHAN_VIEN!$B$4:$F$18,2,FALSE())</f>
        <v>Trần Thị Nhân Sự</v>
      </c>
      <c r="D50" s="9" t="str">
        <f aca="false">VLOOKUP($B50,DM_NHAN_VIEN!$B$4:$F$18,3,FALSE())</f>
        <v>Nhân sự</v>
      </c>
      <c r="E50" s="9" t="str">
        <f aca="false">VLOOKUP($B50,DM_NHAN_VIEN!$B$4:$F$18,4,FALSE())</f>
        <v>Trưởng phòng</v>
      </c>
      <c r="F50" s="18" t="n">
        <v>46177</v>
      </c>
      <c r="G50" s="9" t="str">
        <f aca="false">CHOOSE(WEEKDAY(F50,2),"Thứ Hai","Thứ Ba","Thứ Tư","Thứ Năm","Thứ Sáu","Thứ Bảy","Chủ Nhật")</f>
        <v>Thứ Năm</v>
      </c>
      <c r="H50" s="9" t="str">
        <f aca="false">VLOOKUP($B50,DM_NHAN_VIEN!$B$4:$F$18,5,FALSE())</f>
        <v>Ca Hành Chính</v>
      </c>
      <c r="I50" s="9" t="str">
        <f aca="false">VLOOKUP($H50,DM_CA_LAM!$A$4:$C$6,2,FALSE())</f>
        <v>07:30</v>
      </c>
      <c r="J50" s="9" t="str">
        <f aca="false">VLOOKUP($H50,DM_CA_LAM!$A$4:$C$6,3,FALSE())</f>
        <v>17:30</v>
      </c>
      <c r="K50" s="9"/>
      <c r="L50" s="9"/>
      <c r="M50" s="9" t="str">
        <f aca="false">IF($K50="","",MAX(0,ROUND((TIMEVALUE($K50)-TIMEVALUE($I50))*1440,0)))</f>
        <v/>
      </c>
      <c r="N50" s="9" t="str">
        <f aca="false">IF($L50="","",MAX(0,ROUND((TIMEVALUE($J50)-TIMEVALUE($L50))*1440,0)))</f>
        <v/>
      </c>
      <c r="O50" s="9" t="n">
        <f aca="false">IF(OR($K50="",$L50=""),0,ROUND(VLOOKUP($H50,DM_CA_LAM!$A$4:$F$6,6,FALSE())-$M50/60-$N50/60,2))</f>
        <v>0</v>
      </c>
      <c r="P50" s="9" t="s">
        <v>120</v>
      </c>
      <c r="Q50" s="9" t="n">
        <v>0</v>
      </c>
      <c r="R50" s="10"/>
      <c r="S50" s="10"/>
      <c r="T50" s="9" t="str">
        <f aca="false">$B50&amp;"_"&amp;TEXT($F50,"yyyymmdd")</f>
        <v>NV003_20260604</v>
      </c>
      <c r="U50" s="9" t="str">
        <f aca="false">VLOOKUP($P50,DM_TRANG_THAI!$A$4:$B$9,2,FALSE())</f>
        <v>KL</v>
      </c>
    </row>
    <row r="51" customFormat="false" ht="15.75" hidden="false" customHeight="true" outlineLevel="0" collapsed="false">
      <c r="A51" s="9" t="n">
        <v>48</v>
      </c>
      <c r="B51" s="9" t="s">
        <v>35</v>
      </c>
      <c r="C51" s="10" t="str">
        <f aca="false">VLOOKUP($B51,DM_NHAN_VIEN!$B$4:$F$18,2,FALSE())</f>
        <v>Lê Văn Quản Đốc</v>
      </c>
      <c r="D51" s="9" t="str">
        <f aca="false">VLOOKUP($B51,DM_NHAN_VIEN!$B$4:$F$18,3,FALSE())</f>
        <v>Xưởng sản xuất</v>
      </c>
      <c r="E51" s="9" t="str">
        <f aca="false">VLOOKUP($B51,DM_NHAN_VIEN!$B$4:$F$18,4,FALSE())</f>
        <v>Quản đốc</v>
      </c>
      <c r="F51" s="18" t="n">
        <v>46177</v>
      </c>
      <c r="G51" s="9" t="str">
        <f aca="false">CHOOSE(WEEKDAY(F51,2),"Thứ Hai","Thứ Ba","Thứ Tư","Thứ Năm","Thứ Sáu","Thứ Bảy","Chủ Nhật")</f>
        <v>Thứ Năm</v>
      </c>
      <c r="H51" s="9" t="str">
        <f aca="false">VLOOKUP($B51,DM_NHAN_VIEN!$B$4:$F$18,5,FALSE())</f>
        <v>Ca Hành Chính</v>
      </c>
      <c r="I51" s="9" t="str">
        <f aca="false">VLOOKUP($H51,DM_CA_LAM!$A$4:$C$6,2,FALSE())</f>
        <v>07:30</v>
      </c>
      <c r="J51" s="9" t="str">
        <f aca="false">VLOOKUP($H51,DM_CA_LAM!$A$4:$C$6,3,FALSE())</f>
        <v>17:30</v>
      </c>
      <c r="K51" s="9" t="s">
        <v>173</v>
      </c>
      <c r="L51" s="9" t="s">
        <v>166</v>
      </c>
      <c r="M51" s="9" t="n">
        <f aca="false">IF($K51="","",MAX(0,ROUND((TIMEVALUE($K51)-TIMEVALUE($I51))*1440,0)))</f>
        <v>7</v>
      </c>
      <c r="N51" s="9" t="n">
        <f aca="false">IF($L51="","",MAX(0,ROUND((TIMEVALUE($J51)-TIMEVALUE($L51))*1440,0)))</f>
        <v>0</v>
      </c>
      <c r="O51" s="9" t="n">
        <f aca="false">IF(OR($K51="",$L51=""),0,ROUND(VLOOKUP($H51,DM_CA_LAM!$A$4:$F$6,6,FALSE())-$M51/60-$N51/60,2))</f>
        <v>7.88</v>
      </c>
      <c r="P51" s="9" t="s">
        <v>111</v>
      </c>
      <c r="Q51" s="9" t="n">
        <v>3</v>
      </c>
      <c r="R51" s="10" t="s">
        <v>169</v>
      </c>
      <c r="S51" s="10" t="s">
        <v>154</v>
      </c>
      <c r="T51" s="9" t="str">
        <f aca="false">$B51&amp;"_"&amp;TEXT($F51,"yyyymmdd")</f>
        <v>NV004_20260604</v>
      </c>
      <c r="U51" s="9" t="str">
        <f aca="false">VLOOKUP($P51,DM_TRANG_THAI!$A$4:$B$9,2,FALSE())</f>
        <v>L</v>
      </c>
    </row>
    <row r="52" customFormat="false" ht="15.75" hidden="false" customHeight="true" outlineLevel="0" collapsed="false">
      <c r="A52" s="9" t="n">
        <v>49</v>
      </c>
      <c r="B52" s="9" t="s">
        <v>40</v>
      </c>
      <c r="C52" s="10" t="str">
        <f aca="false">VLOOKUP($B52,DM_NHAN_VIEN!$B$4:$F$18,2,FALSE())</f>
        <v>Phạm Công Nhân</v>
      </c>
      <c r="D52" s="9" t="str">
        <f aca="false">VLOOKUP($B52,DM_NHAN_VIEN!$B$4:$F$18,3,FALSE())</f>
        <v>Xưởng sản xuất</v>
      </c>
      <c r="E52" s="9" t="str">
        <f aca="false">VLOOKUP($B52,DM_NHAN_VIEN!$B$4:$F$18,4,FALSE())</f>
        <v>Công nhân</v>
      </c>
      <c r="F52" s="18" t="n">
        <v>46177</v>
      </c>
      <c r="G52" s="9" t="str">
        <f aca="false">CHOOSE(WEEKDAY(F52,2),"Thứ Hai","Thứ Ba","Thứ Tư","Thứ Năm","Thứ Sáu","Thứ Bảy","Chủ Nhật")</f>
        <v>Thứ Năm</v>
      </c>
      <c r="H52" s="9" t="str">
        <f aca="false">VLOOKUP($B52,DM_NHAN_VIEN!$B$4:$F$18,5,FALSE())</f>
        <v>Ca Hành Chính</v>
      </c>
      <c r="I52" s="9" t="str">
        <f aca="false">VLOOKUP($H52,DM_CA_LAM!$A$4:$C$6,2,FALSE())</f>
        <v>07:30</v>
      </c>
      <c r="J52" s="9" t="str">
        <f aca="false">VLOOKUP($H52,DM_CA_LAM!$A$4:$C$6,3,FALSE())</f>
        <v>17:30</v>
      </c>
      <c r="K52" s="9" t="s">
        <v>161</v>
      </c>
      <c r="L52" s="9" t="s">
        <v>149</v>
      </c>
      <c r="M52" s="9" t="n">
        <f aca="false">IF($K52="","",MAX(0,ROUND((TIMEVALUE($K52)-TIMEVALUE($I52))*1440,0)))</f>
        <v>0</v>
      </c>
      <c r="N52" s="9" t="n">
        <f aca="false">IF($L52="","",MAX(0,ROUND((TIMEVALUE($J52)-TIMEVALUE($L52))*1440,0)))</f>
        <v>0</v>
      </c>
      <c r="O52" s="9" t="n">
        <f aca="false">IF(OR($K52="",$L52=""),0,ROUND(VLOOKUP($H52,DM_CA_LAM!$A$4:$F$6,6,FALSE())-$M52/60-$N52/60,2))</f>
        <v>8</v>
      </c>
      <c r="P52" s="9" t="s">
        <v>108</v>
      </c>
      <c r="Q52" s="9" t="n">
        <v>0</v>
      </c>
      <c r="R52" s="10"/>
      <c r="S52" s="10"/>
      <c r="T52" s="9" t="str">
        <f aca="false">$B52&amp;"_"&amp;TEXT($F52,"yyyymmdd")</f>
        <v>NV005_20260604</v>
      </c>
      <c r="U52" s="9" t="str">
        <f aca="false">VLOOKUP($P52,DM_TRANG_THAI!$A$4:$B$9,2,FALSE())</f>
        <v>P</v>
      </c>
    </row>
    <row r="53" customFormat="false" ht="15.75" hidden="false" customHeight="true" outlineLevel="0" collapsed="false">
      <c r="A53" s="9" t="n">
        <v>50</v>
      </c>
      <c r="B53" s="9" t="s">
        <v>44</v>
      </c>
      <c r="C53" s="10" t="str">
        <f aca="false">VLOOKUP($B53,DM_NHAN_VIEN!$B$4:$F$18,2,FALSE())</f>
        <v>Đỗ Thị Hà</v>
      </c>
      <c r="D53" s="9" t="str">
        <f aca="false">VLOOKUP($B53,DM_NHAN_VIEN!$B$4:$F$18,3,FALSE())</f>
        <v>Hành chính</v>
      </c>
      <c r="E53" s="9" t="str">
        <f aca="false">VLOOKUP($B53,DM_NHAN_VIEN!$B$4:$F$18,4,FALSE())</f>
        <v>Trưởng phòng</v>
      </c>
      <c r="F53" s="18" t="n">
        <v>46177</v>
      </c>
      <c r="G53" s="9" t="str">
        <f aca="false">CHOOSE(WEEKDAY(F53,2),"Thứ Hai","Thứ Ba","Thứ Tư","Thứ Năm","Thứ Sáu","Thứ Bảy","Chủ Nhật")</f>
        <v>Thứ Năm</v>
      </c>
      <c r="H53" s="9" t="str">
        <f aca="false">VLOOKUP($B53,DM_NHAN_VIEN!$B$4:$F$18,5,FALSE())</f>
        <v>Ca Hành Chính</v>
      </c>
      <c r="I53" s="9" t="str">
        <f aca="false">VLOOKUP($H53,DM_CA_LAM!$A$4:$C$6,2,FALSE())</f>
        <v>07:30</v>
      </c>
      <c r="J53" s="9" t="str">
        <f aca="false">VLOOKUP($H53,DM_CA_LAM!$A$4:$C$6,3,FALSE())</f>
        <v>17:30</v>
      </c>
      <c r="K53" s="9" t="s">
        <v>158</v>
      </c>
      <c r="L53" s="9" t="s">
        <v>157</v>
      </c>
      <c r="M53" s="9" t="n">
        <f aca="false">IF($K53="","",MAX(0,ROUND((TIMEVALUE($K53)-TIMEVALUE($I53))*1440,0)))</f>
        <v>0</v>
      </c>
      <c r="N53" s="9" t="n">
        <f aca="false">IF($L53="","",MAX(0,ROUND((TIMEVALUE($J53)-TIMEVALUE($L53))*1440,0)))</f>
        <v>0</v>
      </c>
      <c r="O53" s="9" t="n">
        <f aca="false">IF(OR($K53="",$L53=""),0,ROUND(VLOOKUP($H53,DM_CA_LAM!$A$4:$F$6,6,FALSE())-$M53/60-$N53/60,2))</f>
        <v>8</v>
      </c>
      <c r="P53" s="9" t="s">
        <v>108</v>
      </c>
      <c r="Q53" s="9" t="n">
        <v>0</v>
      </c>
      <c r="R53" s="10"/>
      <c r="S53" s="10"/>
      <c r="T53" s="9" t="str">
        <f aca="false">$B53&amp;"_"&amp;TEXT($F53,"yyyymmdd")</f>
        <v>NV006_20260604</v>
      </c>
      <c r="U53" s="9" t="str">
        <f aca="false">VLOOKUP($P53,DM_TRANG_THAI!$A$4:$B$9,2,FALSE())</f>
        <v>P</v>
      </c>
    </row>
    <row r="54" customFormat="false" ht="15.75" hidden="false" customHeight="true" outlineLevel="0" collapsed="false">
      <c r="A54" s="9" t="n">
        <v>51</v>
      </c>
      <c r="B54" s="9" t="s">
        <v>47</v>
      </c>
      <c r="C54" s="10" t="str">
        <f aca="false">VLOOKUP($B54,DM_NHAN_VIEN!$B$4:$F$18,2,FALSE())</f>
        <v>Ngô Văn Tài</v>
      </c>
      <c r="D54" s="9" t="str">
        <f aca="false">VLOOKUP($B54,DM_NHAN_VIEN!$B$4:$F$18,3,FALSE())</f>
        <v>Hành chính</v>
      </c>
      <c r="E54" s="9" t="str">
        <f aca="false">VLOOKUP($B54,DM_NHAN_VIEN!$B$4:$F$18,4,FALSE())</f>
        <v>Phó phòng</v>
      </c>
      <c r="F54" s="18" t="n">
        <v>46177</v>
      </c>
      <c r="G54" s="9" t="str">
        <f aca="false">CHOOSE(WEEKDAY(F54,2),"Thứ Hai","Thứ Ba","Thứ Tư","Thứ Năm","Thứ Sáu","Thứ Bảy","Chủ Nhật")</f>
        <v>Thứ Năm</v>
      </c>
      <c r="H54" s="9" t="str">
        <f aca="false">VLOOKUP($B54,DM_NHAN_VIEN!$B$4:$F$18,5,FALSE())</f>
        <v>Ca Hành Chính</v>
      </c>
      <c r="I54" s="9" t="str">
        <f aca="false">VLOOKUP($H54,DM_CA_LAM!$A$4:$C$6,2,FALSE())</f>
        <v>07:30</v>
      </c>
      <c r="J54" s="9" t="str">
        <f aca="false">VLOOKUP($H54,DM_CA_LAM!$A$4:$C$6,3,FALSE())</f>
        <v>17:30</v>
      </c>
      <c r="K54" s="9" t="s">
        <v>145</v>
      </c>
      <c r="L54" s="9" t="s">
        <v>165</v>
      </c>
      <c r="M54" s="9" t="n">
        <f aca="false">IF($K54="","",MAX(0,ROUND((TIMEVALUE($K54)-TIMEVALUE($I54))*1440,0)))</f>
        <v>0</v>
      </c>
      <c r="N54" s="9" t="n">
        <f aca="false">IF($L54="","",MAX(0,ROUND((TIMEVALUE($J54)-TIMEVALUE($L54))*1440,0)))</f>
        <v>0</v>
      </c>
      <c r="O54" s="9" t="n">
        <f aca="false">IF(OR($K54="",$L54=""),0,ROUND(VLOOKUP($H54,DM_CA_LAM!$A$4:$F$6,6,FALSE())-$M54/60-$N54/60,2))</f>
        <v>8</v>
      </c>
      <c r="P54" s="9" t="s">
        <v>108</v>
      </c>
      <c r="Q54" s="9" t="n">
        <v>2</v>
      </c>
      <c r="R54" s="10" t="s">
        <v>151</v>
      </c>
      <c r="S54" s="10"/>
      <c r="T54" s="9" t="str">
        <f aca="false">$B54&amp;"_"&amp;TEXT($F54,"yyyymmdd")</f>
        <v>NV007_20260604</v>
      </c>
      <c r="U54" s="9" t="str">
        <f aca="false">VLOOKUP($P54,DM_TRANG_THAI!$A$4:$B$9,2,FALSE())</f>
        <v>P</v>
      </c>
    </row>
    <row r="55" customFormat="false" ht="15.75" hidden="false" customHeight="true" outlineLevel="0" collapsed="false">
      <c r="A55" s="9" t="n">
        <v>52</v>
      </c>
      <c r="B55" s="9" t="s">
        <v>51</v>
      </c>
      <c r="C55" s="10" t="str">
        <f aca="false">VLOOKUP($B55,DM_NHAN_VIEN!$B$4:$F$18,2,FALSE())</f>
        <v>Vũ Thị Nga</v>
      </c>
      <c r="D55" s="9" t="str">
        <f aca="false">VLOOKUP($B55,DM_NHAN_VIEN!$B$4:$F$18,3,FALSE())</f>
        <v>Hành chính</v>
      </c>
      <c r="E55" s="9" t="str">
        <f aca="false">VLOOKUP($B55,DM_NHAN_VIEN!$B$4:$F$18,4,FALSE())</f>
        <v>Chuyên viên</v>
      </c>
      <c r="F55" s="18" t="n">
        <v>46177</v>
      </c>
      <c r="G55" s="9" t="str">
        <f aca="false">CHOOSE(WEEKDAY(F55,2),"Thứ Hai","Thứ Ba","Thứ Tư","Thứ Năm","Thứ Sáu","Thứ Bảy","Chủ Nhật")</f>
        <v>Thứ Năm</v>
      </c>
      <c r="H55" s="9" t="str">
        <f aca="false">VLOOKUP($B55,DM_NHAN_VIEN!$B$4:$F$18,5,FALSE())</f>
        <v>Ca Hành Chính</v>
      </c>
      <c r="I55" s="9" t="str">
        <f aca="false">VLOOKUP($H55,DM_CA_LAM!$A$4:$C$6,2,FALSE())</f>
        <v>07:30</v>
      </c>
      <c r="J55" s="9" t="str">
        <f aca="false">VLOOKUP($H55,DM_CA_LAM!$A$4:$C$6,3,FALSE())</f>
        <v>17:30</v>
      </c>
      <c r="K55" s="9" t="s">
        <v>173</v>
      </c>
      <c r="L55" s="9" t="s">
        <v>153</v>
      </c>
      <c r="M55" s="9" t="n">
        <f aca="false">IF($K55="","",MAX(0,ROUND((TIMEVALUE($K55)-TIMEVALUE($I55))*1440,0)))</f>
        <v>7</v>
      </c>
      <c r="N55" s="9" t="n">
        <f aca="false">IF($L55="","",MAX(0,ROUND((TIMEVALUE($J55)-TIMEVALUE($L55))*1440,0)))</f>
        <v>0</v>
      </c>
      <c r="O55" s="9" t="n">
        <f aca="false">IF(OR($K55="",$L55=""),0,ROUND(VLOOKUP($H55,DM_CA_LAM!$A$4:$F$6,6,FALSE())-$M55/60-$N55/60,2))</f>
        <v>7.88</v>
      </c>
      <c r="P55" s="9" t="s">
        <v>111</v>
      </c>
      <c r="Q55" s="9" t="n">
        <v>0</v>
      </c>
      <c r="R55" s="10"/>
      <c r="S55" s="10"/>
      <c r="T55" s="9" t="str">
        <f aca="false">$B55&amp;"_"&amp;TEXT($F55,"yyyymmdd")</f>
        <v>NV008_20260604</v>
      </c>
      <c r="U55" s="9" t="str">
        <f aca="false">VLOOKUP($P55,DM_TRANG_THAI!$A$4:$B$9,2,FALSE())</f>
        <v>L</v>
      </c>
    </row>
    <row r="56" customFormat="false" ht="15.75" hidden="false" customHeight="true" outlineLevel="0" collapsed="false">
      <c r="A56" s="9" t="n">
        <v>53</v>
      </c>
      <c r="B56" s="9" t="s">
        <v>55</v>
      </c>
      <c r="C56" s="10" t="str">
        <f aca="false">VLOOKUP($B56,DM_NHAN_VIEN!$B$4:$F$18,2,FALSE())</f>
        <v>Đặng Thị Hồng</v>
      </c>
      <c r="D56" s="9" t="str">
        <f aca="false">VLOOKUP($B56,DM_NHAN_VIEN!$B$4:$F$18,3,FALSE())</f>
        <v>Nhân sự</v>
      </c>
      <c r="E56" s="9" t="str">
        <f aca="false">VLOOKUP($B56,DM_NHAN_VIEN!$B$4:$F$18,4,FALSE())</f>
        <v>Chuyên viên</v>
      </c>
      <c r="F56" s="18" t="n">
        <v>46177</v>
      </c>
      <c r="G56" s="9" t="str">
        <f aca="false">CHOOSE(WEEKDAY(F56,2),"Thứ Hai","Thứ Ba","Thứ Tư","Thứ Năm","Thứ Sáu","Thứ Bảy","Chủ Nhật")</f>
        <v>Thứ Năm</v>
      </c>
      <c r="H56" s="9" t="str">
        <f aca="false">VLOOKUP($B56,DM_NHAN_VIEN!$B$4:$F$18,5,FALSE())</f>
        <v>Ca Hành Chính</v>
      </c>
      <c r="I56" s="9" t="str">
        <f aca="false">VLOOKUP($H56,DM_CA_LAM!$A$4:$C$6,2,FALSE())</f>
        <v>07:30</v>
      </c>
      <c r="J56" s="9" t="str">
        <f aca="false">VLOOKUP($H56,DM_CA_LAM!$A$4:$C$6,3,FALSE())</f>
        <v>17:30</v>
      </c>
      <c r="K56" s="9"/>
      <c r="L56" s="9"/>
      <c r="M56" s="9" t="str">
        <f aca="false">IF($K56="","",MAX(0,ROUND((TIMEVALUE($K56)-TIMEVALUE($I56))*1440,0)))</f>
        <v/>
      </c>
      <c r="N56" s="9" t="str">
        <f aca="false">IF($L56="","",MAX(0,ROUND((TIMEVALUE($J56)-TIMEVALUE($L56))*1440,0)))</f>
        <v/>
      </c>
      <c r="O56" s="9" t="n">
        <f aca="false">IF(OR($K56="",$L56=""),0,ROUND(VLOOKUP($H56,DM_CA_LAM!$A$4:$F$6,6,FALSE())-$M56/60-$N56/60,2))</f>
        <v>0</v>
      </c>
      <c r="P56" s="9" t="s">
        <v>120</v>
      </c>
      <c r="Q56" s="9" t="n">
        <v>0</v>
      </c>
      <c r="R56" s="10"/>
      <c r="S56" s="10"/>
      <c r="T56" s="9" t="str">
        <f aca="false">$B56&amp;"_"&amp;TEXT($F56,"yyyymmdd")</f>
        <v>NV010_20260604</v>
      </c>
      <c r="U56" s="9" t="str">
        <f aca="false">VLOOKUP($P56,DM_TRANG_THAI!$A$4:$B$9,2,FALSE())</f>
        <v>KL</v>
      </c>
    </row>
    <row r="57" customFormat="false" ht="15.75" hidden="false" customHeight="true" outlineLevel="0" collapsed="false">
      <c r="A57" s="9" t="n">
        <v>54</v>
      </c>
      <c r="B57" s="9" t="s">
        <v>58</v>
      </c>
      <c r="C57" s="10" t="str">
        <f aca="false">VLOOKUP($B57,DM_NHAN_VIEN!$B$4:$F$18,2,FALSE())</f>
        <v>Chu Văn Minh</v>
      </c>
      <c r="D57" s="9" t="str">
        <f aca="false">VLOOKUP($B57,DM_NHAN_VIEN!$B$4:$F$18,3,FALSE())</f>
        <v>Nhân sự</v>
      </c>
      <c r="E57" s="9" t="str">
        <f aca="false">VLOOKUP($B57,DM_NHAN_VIEN!$B$4:$F$18,4,FALSE())</f>
        <v>Chuyên viên</v>
      </c>
      <c r="F57" s="18" t="n">
        <v>46177</v>
      </c>
      <c r="G57" s="9" t="str">
        <f aca="false">CHOOSE(WEEKDAY(F57,2),"Thứ Hai","Thứ Ba","Thứ Tư","Thứ Năm","Thứ Sáu","Thứ Bảy","Chủ Nhật")</f>
        <v>Thứ Năm</v>
      </c>
      <c r="H57" s="9" t="str">
        <f aca="false">VLOOKUP($B57,DM_NHAN_VIEN!$B$4:$F$18,5,FALSE())</f>
        <v>Ca Hành Chính</v>
      </c>
      <c r="I57" s="9" t="str">
        <f aca="false">VLOOKUP($H57,DM_CA_LAM!$A$4:$C$6,2,FALSE())</f>
        <v>07:30</v>
      </c>
      <c r="J57" s="9" t="str">
        <f aca="false">VLOOKUP($H57,DM_CA_LAM!$A$4:$C$6,3,FALSE())</f>
        <v>17:30</v>
      </c>
      <c r="K57" s="9" t="s">
        <v>148</v>
      </c>
      <c r="L57" s="9" t="s">
        <v>153</v>
      </c>
      <c r="M57" s="9" t="n">
        <f aca="false">IF($K57="","",MAX(0,ROUND((TIMEVALUE($K57)-TIMEVALUE($I57))*1440,0)))</f>
        <v>0</v>
      </c>
      <c r="N57" s="9" t="n">
        <f aca="false">IF($L57="","",MAX(0,ROUND((TIMEVALUE($J57)-TIMEVALUE($L57))*1440,0)))</f>
        <v>0</v>
      </c>
      <c r="O57" s="9" t="n">
        <f aca="false">IF(OR($K57="",$L57=""),0,ROUND(VLOOKUP($H57,DM_CA_LAM!$A$4:$F$6,6,FALSE())-$M57/60-$N57/60,2))</f>
        <v>8</v>
      </c>
      <c r="P57" s="9" t="s">
        <v>108</v>
      </c>
      <c r="Q57" s="9" t="n">
        <v>0</v>
      </c>
      <c r="R57" s="10"/>
      <c r="S57" s="10"/>
      <c r="T57" s="9" t="str">
        <f aca="false">$B57&amp;"_"&amp;TEXT($F57,"yyyymmdd")</f>
        <v>NV011_20260604</v>
      </c>
      <c r="U57" s="9" t="str">
        <f aca="false">VLOOKUP($P57,DM_TRANG_THAI!$A$4:$B$9,2,FALSE())</f>
        <v>P</v>
      </c>
    </row>
    <row r="58" customFormat="false" ht="15.75" hidden="false" customHeight="true" outlineLevel="0" collapsed="false">
      <c r="A58" s="9" t="n">
        <v>55</v>
      </c>
      <c r="B58" s="9" t="s">
        <v>61</v>
      </c>
      <c r="C58" s="10" t="str">
        <f aca="false">VLOOKUP($B58,DM_NHAN_VIEN!$B$4:$F$18,2,FALSE())</f>
        <v>Phan Thị Khánh</v>
      </c>
      <c r="D58" s="9" t="str">
        <f aca="false">VLOOKUP($B58,DM_NHAN_VIEN!$B$4:$F$18,3,FALSE())</f>
        <v>Kế toán</v>
      </c>
      <c r="E58" s="9" t="str">
        <f aca="false">VLOOKUP($B58,DM_NHAN_VIEN!$B$4:$F$18,4,FALSE())</f>
        <v>Trưởng phòng</v>
      </c>
      <c r="F58" s="18" t="n">
        <v>46177</v>
      </c>
      <c r="G58" s="9" t="str">
        <f aca="false">CHOOSE(WEEKDAY(F58,2),"Thứ Hai","Thứ Ba","Thứ Tư","Thứ Năm","Thứ Sáu","Thứ Bảy","Chủ Nhật")</f>
        <v>Thứ Năm</v>
      </c>
      <c r="H58" s="9" t="str">
        <f aca="false">VLOOKUP($B58,DM_NHAN_VIEN!$B$4:$F$18,5,FALSE())</f>
        <v>Ca Hành Chính</v>
      </c>
      <c r="I58" s="9" t="str">
        <f aca="false">VLOOKUP($H58,DM_CA_LAM!$A$4:$C$6,2,FALSE())</f>
        <v>07:30</v>
      </c>
      <c r="J58" s="9" t="str">
        <f aca="false">VLOOKUP($H58,DM_CA_LAM!$A$4:$C$6,3,FALSE())</f>
        <v>17:30</v>
      </c>
      <c r="K58" s="9" t="s">
        <v>145</v>
      </c>
      <c r="L58" s="9" t="s">
        <v>144</v>
      </c>
      <c r="M58" s="9" t="n">
        <f aca="false">IF($K58="","",MAX(0,ROUND((TIMEVALUE($K58)-TIMEVALUE($I58))*1440,0)))</f>
        <v>0</v>
      </c>
      <c r="N58" s="9" t="n">
        <f aca="false">IF($L58="","",MAX(0,ROUND((TIMEVALUE($J58)-TIMEVALUE($L58))*1440,0)))</f>
        <v>0</v>
      </c>
      <c r="O58" s="9" t="n">
        <f aca="false">IF(OR($K58="",$L58=""),0,ROUND(VLOOKUP($H58,DM_CA_LAM!$A$4:$F$6,6,FALSE())-$M58/60-$N58/60,2))</f>
        <v>8</v>
      </c>
      <c r="P58" s="9" t="s">
        <v>108</v>
      </c>
      <c r="Q58" s="9" t="n">
        <v>0</v>
      </c>
      <c r="R58" s="10"/>
      <c r="S58" s="10"/>
      <c r="T58" s="9" t="str">
        <f aca="false">$B58&amp;"_"&amp;TEXT($F58,"yyyymmdd")</f>
        <v>NV014_20260604</v>
      </c>
      <c r="U58" s="9" t="str">
        <f aca="false">VLOOKUP($P58,DM_TRANG_THAI!$A$4:$B$9,2,FALSE())</f>
        <v>P</v>
      </c>
    </row>
    <row r="59" customFormat="false" ht="15.75" hidden="false" customHeight="true" outlineLevel="0" collapsed="false">
      <c r="A59" s="9" t="n">
        <v>56</v>
      </c>
      <c r="B59" s="9" t="s">
        <v>65</v>
      </c>
      <c r="C59" s="10" t="str">
        <f aca="false">VLOOKUP($B59,DM_NHAN_VIEN!$B$4:$F$18,2,FALSE())</f>
        <v>Trịnh Văn Hùng</v>
      </c>
      <c r="D59" s="9" t="str">
        <f aca="false">VLOOKUP($B59,DM_NHAN_VIEN!$B$4:$F$18,3,FALSE())</f>
        <v>Kế toán</v>
      </c>
      <c r="E59" s="9" t="str">
        <f aca="false">VLOOKUP($B59,DM_NHAN_VIEN!$B$4:$F$18,4,FALSE())</f>
        <v>Phó phòng</v>
      </c>
      <c r="F59" s="18" t="n">
        <v>46177</v>
      </c>
      <c r="G59" s="9" t="str">
        <f aca="false">CHOOSE(WEEKDAY(F59,2),"Thứ Hai","Thứ Ba","Thứ Tư","Thứ Năm","Thứ Sáu","Thứ Bảy","Chủ Nhật")</f>
        <v>Thứ Năm</v>
      </c>
      <c r="H59" s="9" t="str">
        <f aca="false">VLOOKUP($B59,DM_NHAN_VIEN!$B$4:$F$18,5,FALSE())</f>
        <v>Ca Hành Chính</v>
      </c>
      <c r="I59" s="9" t="str">
        <f aca="false">VLOOKUP($H59,DM_CA_LAM!$A$4:$C$6,2,FALSE())</f>
        <v>07:30</v>
      </c>
      <c r="J59" s="9" t="str">
        <f aca="false">VLOOKUP($H59,DM_CA_LAM!$A$4:$C$6,3,FALSE())</f>
        <v>17:30</v>
      </c>
      <c r="K59" s="9" t="s">
        <v>152</v>
      </c>
      <c r="L59" s="9" t="s">
        <v>174</v>
      </c>
      <c r="M59" s="9" t="n">
        <f aca="false">IF($K59="","",MAX(0,ROUND((TIMEVALUE($K59)-TIMEVALUE($I59))*1440,0)))</f>
        <v>35</v>
      </c>
      <c r="N59" s="9" t="n">
        <f aca="false">IF($L59="","",MAX(0,ROUND((TIMEVALUE($J59)-TIMEVALUE($L59))*1440,0)))</f>
        <v>0</v>
      </c>
      <c r="O59" s="9" t="n">
        <f aca="false">IF(OR($K59="",$L59=""),0,ROUND(VLOOKUP($H59,DM_CA_LAM!$A$4:$F$6,6,FALSE())-$M59/60-$N59/60,2))</f>
        <v>7.42</v>
      </c>
      <c r="P59" s="9" t="s">
        <v>111</v>
      </c>
      <c r="Q59" s="9" t="n">
        <v>0</v>
      </c>
      <c r="R59" s="10"/>
      <c r="S59" s="10" t="s">
        <v>154</v>
      </c>
      <c r="T59" s="9" t="str">
        <f aca="false">$B59&amp;"_"&amp;TEXT($F59,"yyyymmdd")</f>
        <v>NV015_20260604</v>
      </c>
      <c r="U59" s="9" t="str">
        <f aca="false">VLOOKUP($P59,DM_TRANG_THAI!$A$4:$B$9,2,FALSE())</f>
        <v>L</v>
      </c>
    </row>
    <row r="60" customFormat="false" ht="15.75" hidden="false" customHeight="true" outlineLevel="0" collapsed="false">
      <c r="A60" s="9" t="n">
        <v>57</v>
      </c>
      <c r="B60" s="9" t="s">
        <v>68</v>
      </c>
      <c r="C60" s="10" t="str">
        <f aca="false">VLOOKUP($B60,DM_NHAN_VIEN!$B$4:$F$18,2,FALSE())</f>
        <v>Hoàng Văn Lộc</v>
      </c>
      <c r="D60" s="9" t="str">
        <f aca="false">VLOOKUP($B60,DM_NHAN_VIEN!$B$4:$F$18,3,FALSE())</f>
        <v>Kinh doanh</v>
      </c>
      <c r="E60" s="9" t="str">
        <f aca="false">VLOOKUP($B60,DM_NHAN_VIEN!$B$4:$F$18,4,FALSE())</f>
        <v>Trưởng phòng</v>
      </c>
      <c r="F60" s="18" t="n">
        <v>46177</v>
      </c>
      <c r="G60" s="9" t="str">
        <f aca="false">CHOOSE(WEEKDAY(F60,2),"Thứ Hai","Thứ Ba","Thứ Tư","Thứ Năm","Thứ Sáu","Thứ Bảy","Chủ Nhật")</f>
        <v>Thứ Năm</v>
      </c>
      <c r="H60" s="9" t="str">
        <f aca="false">VLOOKUP($B60,DM_NHAN_VIEN!$B$4:$F$18,5,FALSE())</f>
        <v>Ca Hành Chính</v>
      </c>
      <c r="I60" s="9" t="str">
        <f aca="false">VLOOKUP($H60,DM_CA_LAM!$A$4:$C$6,2,FALSE())</f>
        <v>07:30</v>
      </c>
      <c r="J60" s="9" t="str">
        <f aca="false">VLOOKUP($H60,DM_CA_LAM!$A$4:$C$6,3,FALSE())</f>
        <v>17:30</v>
      </c>
      <c r="K60" s="9" t="s">
        <v>147</v>
      </c>
      <c r="L60" s="9" t="s">
        <v>164</v>
      </c>
      <c r="M60" s="9" t="n">
        <f aca="false">IF($K60="","",MAX(0,ROUND((TIMEVALUE($K60)-TIMEVALUE($I60))*1440,0)))</f>
        <v>0</v>
      </c>
      <c r="N60" s="9" t="n">
        <f aca="false">IF($L60="","",MAX(0,ROUND((TIMEVALUE($J60)-TIMEVALUE($L60))*1440,0)))</f>
        <v>0</v>
      </c>
      <c r="O60" s="9" t="n">
        <f aca="false">IF(OR($K60="",$L60=""),0,ROUND(VLOOKUP($H60,DM_CA_LAM!$A$4:$F$6,6,FALSE())-$M60/60-$N60/60,2))</f>
        <v>8</v>
      </c>
      <c r="P60" s="9" t="s">
        <v>108</v>
      </c>
      <c r="Q60" s="9" t="n">
        <v>0</v>
      </c>
      <c r="R60" s="10"/>
      <c r="S60" s="10"/>
      <c r="T60" s="9" t="str">
        <f aca="false">$B60&amp;"_"&amp;TEXT($F60,"yyyymmdd")</f>
        <v>NV019_20260604</v>
      </c>
      <c r="U60" s="9" t="str">
        <f aca="false">VLOOKUP($P60,DM_TRANG_THAI!$A$4:$B$9,2,FALSE())</f>
        <v>P</v>
      </c>
    </row>
    <row r="61" customFormat="false" ht="15.75" hidden="false" customHeight="true" outlineLevel="0" collapsed="false">
      <c r="A61" s="9" t="n">
        <v>58</v>
      </c>
      <c r="B61" s="9" t="s">
        <v>72</v>
      </c>
      <c r="C61" s="10" t="str">
        <f aca="false">VLOOKUP($B61,DM_NHAN_VIEN!$B$4:$F$18,2,FALSE())</f>
        <v>Nguyễn Văn Phú</v>
      </c>
      <c r="D61" s="9" t="str">
        <f aca="false">VLOOKUP($B61,DM_NHAN_VIEN!$B$4:$F$18,3,FALSE())</f>
        <v>Kinh doanh</v>
      </c>
      <c r="E61" s="9" t="str">
        <f aca="false">VLOOKUP($B61,DM_NHAN_VIEN!$B$4:$F$18,4,FALSE())</f>
        <v>Nhân viên</v>
      </c>
      <c r="F61" s="18" t="n">
        <v>46177</v>
      </c>
      <c r="G61" s="9" t="str">
        <f aca="false">CHOOSE(WEEKDAY(F61,2),"Thứ Hai","Thứ Ba","Thứ Tư","Thứ Năm","Thứ Sáu","Thứ Bảy","Chủ Nhật")</f>
        <v>Thứ Năm</v>
      </c>
      <c r="H61" s="9" t="str">
        <f aca="false">VLOOKUP($B61,DM_NHAN_VIEN!$B$4:$F$18,5,FALSE())</f>
        <v>Ca Hành Chính</v>
      </c>
      <c r="I61" s="9" t="str">
        <f aca="false">VLOOKUP($H61,DM_CA_LAM!$A$4:$C$6,2,FALSE())</f>
        <v>07:30</v>
      </c>
      <c r="J61" s="9" t="str">
        <f aca="false">VLOOKUP($H61,DM_CA_LAM!$A$4:$C$6,3,FALSE())</f>
        <v>17:30</v>
      </c>
      <c r="K61" s="9" t="s">
        <v>92</v>
      </c>
      <c r="L61" s="9" t="s">
        <v>163</v>
      </c>
      <c r="M61" s="9" t="n">
        <f aca="false">IF($K61="","",MAX(0,ROUND((TIMEVALUE($K61)-TIMEVALUE($I61))*1440,0)))</f>
        <v>0</v>
      </c>
      <c r="N61" s="9" t="n">
        <f aca="false">IF($L61="","",MAX(0,ROUND((TIMEVALUE($J61)-TIMEVALUE($L61))*1440,0)))</f>
        <v>0</v>
      </c>
      <c r="O61" s="9" t="n">
        <f aca="false">IF(OR($K61="",$L61=""),0,ROUND(VLOOKUP($H61,DM_CA_LAM!$A$4:$F$6,6,FALSE())-$M61/60-$N61/60,2))</f>
        <v>8</v>
      </c>
      <c r="P61" s="9" t="s">
        <v>108</v>
      </c>
      <c r="Q61" s="9" t="n">
        <v>0</v>
      </c>
      <c r="R61" s="10"/>
      <c r="S61" s="10"/>
      <c r="T61" s="9" t="str">
        <f aca="false">$B61&amp;"_"&amp;TEXT($F61,"yyyymmdd")</f>
        <v>NV021_20260604</v>
      </c>
      <c r="U61" s="9" t="str">
        <f aca="false">VLOOKUP($P61,DM_TRANG_THAI!$A$4:$B$9,2,FALSE())</f>
        <v>P</v>
      </c>
    </row>
    <row r="62" customFormat="false" ht="15.75" hidden="false" customHeight="true" outlineLevel="0" collapsed="false">
      <c r="A62" s="9" t="n">
        <v>59</v>
      </c>
      <c r="B62" s="9" t="s">
        <v>76</v>
      </c>
      <c r="C62" s="10" t="str">
        <f aca="false">VLOOKUP($B62,DM_NHAN_VIEN!$B$4:$F$18,2,FALSE())</f>
        <v>Lý Văn Dũng</v>
      </c>
      <c r="D62" s="9" t="str">
        <f aca="false">VLOOKUP($B62,DM_NHAN_VIEN!$B$4:$F$18,3,FALSE())</f>
        <v>Xưởng sản xuất</v>
      </c>
      <c r="E62" s="9" t="str">
        <f aca="false">VLOOKUP($B62,DM_NHAN_VIEN!$B$4:$F$18,4,FALSE())</f>
        <v>Tổ trưởng</v>
      </c>
      <c r="F62" s="18" t="n">
        <v>46177</v>
      </c>
      <c r="G62" s="9" t="str">
        <f aca="false">CHOOSE(WEEKDAY(F62,2),"Thứ Hai","Thứ Ba","Thứ Tư","Thứ Năm","Thứ Sáu","Thứ Bảy","Chủ Nhật")</f>
        <v>Thứ Năm</v>
      </c>
      <c r="H62" s="9" t="str">
        <f aca="false">VLOOKUP($B62,DM_NHAN_VIEN!$B$4:$F$18,5,FALSE())</f>
        <v>Ca Hành Chính</v>
      </c>
      <c r="I62" s="9" t="str">
        <f aca="false">VLOOKUP($H62,DM_CA_LAM!$A$4:$C$6,2,FALSE())</f>
        <v>07:30</v>
      </c>
      <c r="J62" s="9" t="str">
        <f aca="false">VLOOKUP($H62,DM_CA_LAM!$A$4:$C$6,3,FALSE())</f>
        <v>17:30</v>
      </c>
      <c r="K62" s="9" t="s">
        <v>142</v>
      </c>
      <c r="L62" s="9" t="s">
        <v>170</v>
      </c>
      <c r="M62" s="9" t="n">
        <f aca="false">IF($K62="","",MAX(0,ROUND((TIMEVALUE($K62)-TIMEVALUE($I62))*1440,0)))</f>
        <v>0</v>
      </c>
      <c r="N62" s="9" t="n">
        <f aca="false">IF($L62="","",MAX(0,ROUND((TIMEVALUE($J62)-TIMEVALUE($L62))*1440,0)))</f>
        <v>0</v>
      </c>
      <c r="O62" s="9" t="n">
        <f aca="false">IF(OR($K62="",$L62=""),0,ROUND(VLOOKUP($H62,DM_CA_LAM!$A$4:$F$6,6,FALSE())-$M62/60-$N62/60,2))</f>
        <v>8</v>
      </c>
      <c r="P62" s="9" t="s">
        <v>108</v>
      </c>
      <c r="Q62" s="9" t="n">
        <v>2</v>
      </c>
      <c r="R62" s="10" t="s">
        <v>169</v>
      </c>
      <c r="S62" s="10"/>
      <c r="T62" s="9" t="str">
        <f aca="false">$B62&amp;"_"&amp;TEXT($F62,"yyyymmdd")</f>
        <v>NV029_20260604</v>
      </c>
      <c r="U62" s="9" t="str">
        <f aca="false">VLOOKUP($P62,DM_TRANG_THAI!$A$4:$B$9,2,FALSE())</f>
        <v>P</v>
      </c>
    </row>
    <row r="63" customFormat="false" ht="15.75" hidden="false" customHeight="true" outlineLevel="0" collapsed="false">
      <c r="A63" s="9" t="n">
        <v>60</v>
      </c>
      <c r="B63" s="9" t="s">
        <v>80</v>
      </c>
      <c r="C63" s="10" t="str">
        <f aca="false">VLOOKUP($B63,DM_NHAN_VIEN!$B$4:$F$18,2,FALSE())</f>
        <v>Tống Văn Thắng</v>
      </c>
      <c r="D63" s="9" t="str">
        <f aca="false">VLOOKUP($B63,DM_NHAN_VIEN!$B$4:$F$18,3,FALSE())</f>
        <v>Xưởng sản xuất</v>
      </c>
      <c r="E63" s="9" t="str">
        <f aca="false">VLOOKUP($B63,DM_NHAN_VIEN!$B$4:$F$18,4,FALSE())</f>
        <v>Tổ trưởng</v>
      </c>
      <c r="F63" s="18" t="n">
        <v>46177</v>
      </c>
      <c r="G63" s="9" t="str">
        <f aca="false">CHOOSE(WEEKDAY(F63,2),"Thứ Hai","Thứ Ba","Thứ Tư","Thứ Năm","Thứ Sáu","Thứ Bảy","Chủ Nhật")</f>
        <v>Thứ Năm</v>
      </c>
      <c r="H63" s="9" t="str">
        <f aca="false">VLOOKUP($B63,DM_NHAN_VIEN!$B$4:$F$18,5,FALSE())</f>
        <v>Ca Hành Chính</v>
      </c>
      <c r="I63" s="9" t="str">
        <f aca="false">VLOOKUP($H63,DM_CA_LAM!$A$4:$C$6,2,FALSE())</f>
        <v>07:30</v>
      </c>
      <c r="J63" s="9" t="str">
        <f aca="false">VLOOKUP($H63,DM_CA_LAM!$A$4:$C$6,3,FALSE())</f>
        <v>17:30</v>
      </c>
      <c r="K63" s="9" t="s">
        <v>175</v>
      </c>
      <c r="L63" s="9" t="s">
        <v>164</v>
      </c>
      <c r="M63" s="9" t="n">
        <f aca="false">IF($K63="","",MAX(0,ROUND((TIMEVALUE($K63)-TIMEVALUE($I63))*1440,0)))</f>
        <v>22</v>
      </c>
      <c r="N63" s="9" t="n">
        <f aca="false">IF($L63="","",MAX(0,ROUND((TIMEVALUE($J63)-TIMEVALUE($L63))*1440,0)))</f>
        <v>0</v>
      </c>
      <c r="O63" s="9" t="n">
        <f aca="false">IF(OR($K63="",$L63=""),0,ROUND(VLOOKUP($H63,DM_CA_LAM!$A$4:$F$6,6,FALSE())-$M63/60-$N63/60,2))</f>
        <v>7.63</v>
      </c>
      <c r="P63" s="9" t="s">
        <v>111</v>
      </c>
      <c r="Q63" s="9" t="n">
        <v>0</v>
      </c>
      <c r="R63" s="10"/>
      <c r="S63" s="10" t="s">
        <v>154</v>
      </c>
      <c r="T63" s="9" t="str">
        <f aca="false">$B63&amp;"_"&amp;TEXT($F63,"yyyymmdd")</f>
        <v>NV030_20260604</v>
      </c>
      <c r="U63" s="9" t="str">
        <f aca="false">VLOOKUP($P63,DM_TRANG_THAI!$A$4:$B$9,2,FALSE())</f>
        <v>L</v>
      </c>
    </row>
    <row r="64" customFormat="false" ht="15.75" hidden="false" customHeight="true" outlineLevel="0" collapsed="false">
      <c r="A64" s="9" t="n">
        <v>61</v>
      </c>
      <c r="B64" s="9" t="s">
        <v>24</v>
      </c>
      <c r="C64" s="10" t="str">
        <f aca="false">VLOOKUP($B64,DM_NHAN_VIEN!$B$4:$F$18,2,FALSE())</f>
        <v>Nguyễn Văn Giám Đốc</v>
      </c>
      <c r="D64" s="9" t="str">
        <f aca="false">VLOOKUP($B64,DM_NHAN_VIEN!$B$4:$F$18,3,FALSE())</f>
        <v>Hành chính</v>
      </c>
      <c r="E64" s="9" t="str">
        <f aca="false">VLOOKUP($B64,DM_NHAN_VIEN!$B$4:$F$18,4,FALSE())</f>
        <v>Giám đốc</v>
      </c>
      <c r="F64" s="18" t="n">
        <v>46178</v>
      </c>
      <c r="G64" s="9" t="str">
        <f aca="false">CHOOSE(WEEKDAY(F64,2),"Thứ Hai","Thứ Ba","Thứ Tư","Thứ Năm","Thứ Sáu","Thứ Bảy","Chủ Nhật")</f>
        <v>Thứ Sáu</v>
      </c>
      <c r="H64" s="9" t="str">
        <f aca="false">VLOOKUP($B64,DM_NHAN_VIEN!$B$4:$F$18,5,FALSE())</f>
        <v>Ca Hành Chính</v>
      </c>
      <c r="I64" s="9" t="str">
        <f aca="false">VLOOKUP($H64,DM_CA_LAM!$A$4:$C$6,2,FALSE())</f>
        <v>07:30</v>
      </c>
      <c r="J64" s="9" t="str">
        <f aca="false">VLOOKUP($H64,DM_CA_LAM!$A$4:$C$6,3,FALSE())</f>
        <v>17:30</v>
      </c>
      <c r="K64" s="9" t="s">
        <v>145</v>
      </c>
      <c r="L64" s="9" t="s">
        <v>166</v>
      </c>
      <c r="M64" s="9" t="n">
        <f aca="false">IF($K64="","",MAX(0,ROUND((TIMEVALUE($K64)-TIMEVALUE($I64))*1440,0)))</f>
        <v>0</v>
      </c>
      <c r="N64" s="9" t="n">
        <f aca="false">IF($L64="","",MAX(0,ROUND((TIMEVALUE($J64)-TIMEVALUE($L64))*1440,0)))</f>
        <v>0</v>
      </c>
      <c r="O64" s="9" t="n">
        <f aca="false">IF(OR($K64="",$L64=""),0,ROUND(VLOOKUP($H64,DM_CA_LAM!$A$4:$F$6,6,FALSE())-$M64/60-$N64/60,2))</f>
        <v>8</v>
      </c>
      <c r="P64" s="9" t="s">
        <v>108</v>
      </c>
      <c r="Q64" s="9" t="n">
        <v>0</v>
      </c>
      <c r="R64" s="10"/>
      <c r="S64" s="10"/>
      <c r="T64" s="9" t="str">
        <f aca="false">$B64&amp;"_"&amp;TEXT($F64,"yyyymmdd")</f>
        <v>NV002_20260605</v>
      </c>
      <c r="U64" s="9" t="str">
        <f aca="false">VLOOKUP($P64,DM_TRANG_THAI!$A$4:$B$9,2,FALSE())</f>
        <v>P</v>
      </c>
    </row>
    <row r="65" customFormat="false" ht="15.75" hidden="false" customHeight="true" outlineLevel="0" collapsed="false">
      <c r="A65" s="9" t="n">
        <v>62</v>
      </c>
      <c r="B65" s="9" t="s">
        <v>30</v>
      </c>
      <c r="C65" s="10" t="str">
        <f aca="false">VLOOKUP($B65,DM_NHAN_VIEN!$B$4:$F$18,2,FALSE())</f>
        <v>Trần Thị Nhân Sự</v>
      </c>
      <c r="D65" s="9" t="str">
        <f aca="false">VLOOKUP($B65,DM_NHAN_VIEN!$B$4:$F$18,3,FALSE())</f>
        <v>Nhân sự</v>
      </c>
      <c r="E65" s="9" t="str">
        <f aca="false">VLOOKUP($B65,DM_NHAN_VIEN!$B$4:$F$18,4,FALSE())</f>
        <v>Trưởng phòng</v>
      </c>
      <c r="F65" s="18" t="n">
        <v>46178</v>
      </c>
      <c r="G65" s="9" t="str">
        <f aca="false">CHOOSE(WEEKDAY(F65,2),"Thứ Hai","Thứ Ba","Thứ Tư","Thứ Năm","Thứ Sáu","Thứ Bảy","Chủ Nhật")</f>
        <v>Thứ Sáu</v>
      </c>
      <c r="H65" s="9" t="str">
        <f aca="false">VLOOKUP($B65,DM_NHAN_VIEN!$B$4:$F$18,5,FALSE())</f>
        <v>Ca Hành Chính</v>
      </c>
      <c r="I65" s="9" t="str">
        <f aca="false">VLOOKUP($H65,DM_CA_LAM!$A$4:$C$6,2,FALSE())</f>
        <v>07:30</v>
      </c>
      <c r="J65" s="9" t="str">
        <f aca="false">VLOOKUP($H65,DM_CA_LAM!$A$4:$C$6,3,FALSE())</f>
        <v>17:30</v>
      </c>
      <c r="K65" s="9" t="s">
        <v>176</v>
      </c>
      <c r="L65" s="9" t="s">
        <v>146</v>
      </c>
      <c r="M65" s="9" t="n">
        <f aca="false">IF($K65="","",MAX(0,ROUND((TIMEVALUE($K65)-TIMEVALUE($I65))*1440,0)))</f>
        <v>5</v>
      </c>
      <c r="N65" s="9" t="n">
        <f aca="false">IF($L65="","",MAX(0,ROUND((TIMEVALUE($J65)-TIMEVALUE($L65))*1440,0)))</f>
        <v>0</v>
      </c>
      <c r="O65" s="9" t="n">
        <f aca="false">IF(OR($K65="",$L65=""),0,ROUND(VLOOKUP($H65,DM_CA_LAM!$A$4:$F$6,6,FALSE())-$M65/60-$N65/60,2))</f>
        <v>7.92</v>
      </c>
      <c r="P65" s="9" t="s">
        <v>111</v>
      </c>
      <c r="Q65" s="9" t="n">
        <v>0</v>
      </c>
      <c r="R65" s="10"/>
      <c r="S65" s="10" t="s">
        <v>154</v>
      </c>
      <c r="T65" s="9" t="str">
        <f aca="false">$B65&amp;"_"&amp;TEXT($F65,"yyyymmdd")</f>
        <v>NV003_20260605</v>
      </c>
      <c r="U65" s="9" t="str">
        <f aca="false">VLOOKUP($P65,DM_TRANG_THAI!$A$4:$B$9,2,FALSE())</f>
        <v>L</v>
      </c>
    </row>
    <row r="66" customFormat="false" ht="15.75" hidden="false" customHeight="true" outlineLevel="0" collapsed="false">
      <c r="A66" s="9" t="n">
        <v>63</v>
      </c>
      <c r="B66" s="9" t="s">
        <v>35</v>
      </c>
      <c r="C66" s="10" t="str">
        <f aca="false">VLOOKUP($B66,DM_NHAN_VIEN!$B$4:$F$18,2,FALSE())</f>
        <v>Lê Văn Quản Đốc</v>
      </c>
      <c r="D66" s="9" t="str">
        <f aca="false">VLOOKUP($B66,DM_NHAN_VIEN!$B$4:$F$18,3,FALSE())</f>
        <v>Xưởng sản xuất</v>
      </c>
      <c r="E66" s="9" t="str">
        <f aca="false">VLOOKUP($B66,DM_NHAN_VIEN!$B$4:$F$18,4,FALSE())</f>
        <v>Quản đốc</v>
      </c>
      <c r="F66" s="18" t="n">
        <v>46178</v>
      </c>
      <c r="G66" s="9" t="str">
        <f aca="false">CHOOSE(WEEKDAY(F66,2),"Thứ Hai","Thứ Ba","Thứ Tư","Thứ Năm","Thứ Sáu","Thứ Bảy","Chủ Nhật")</f>
        <v>Thứ Sáu</v>
      </c>
      <c r="H66" s="9" t="str">
        <f aca="false">VLOOKUP($B66,DM_NHAN_VIEN!$B$4:$F$18,5,FALSE())</f>
        <v>Ca Hành Chính</v>
      </c>
      <c r="I66" s="9" t="str">
        <f aca="false">VLOOKUP($H66,DM_CA_LAM!$A$4:$C$6,2,FALSE())</f>
        <v>07:30</v>
      </c>
      <c r="J66" s="9" t="str">
        <f aca="false">VLOOKUP($H66,DM_CA_LAM!$A$4:$C$6,3,FALSE())</f>
        <v>17:30</v>
      </c>
      <c r="K66" s="9"/>
      <c r="L66" s="9"/>
      <c r="M66" s="9" t="str">
        <f aca="false">IF($K66="","",MAX(0,ROUND((TIMEVALUE($K66)-TIMEVALUE($I66))*1440,0)))</f>
        <v/>
      </c>
      <c r="N66" s="9" t="str">
        <f aca="false">IF($L66="","",MAX(0,ROUND((TIMEVALUE($J66)-TIMEVALUE($L66))*1440,0)))</f>
        <v/>
      </c>
      <c r="O66" s="9" t="n">
        <f aca="false">IF(OR($K66="",$L66=""),0,ROUND(VLOOKUP($H66,DM_CA_LAM!$A$4:$F$6,6,FALSE())-$M66/60-$N66/60,2))</f>
        <v>0</v>
      </c>
      <c r="P66" s="9" t="s">
        <v>117</v>
      </c>
      <c r="Q66" s="9" t="n">
        <v>0</v>
      </c>
      <c r="R66" s="10"/>
      <c r="S66" s="10"/>
      <c r="T66" s="9" t="str">
        <f aca="false">$B66&amp;"_"&amp;TEXT($F66,"yyyymmdd")</f>
        <v>NV004_20260605</v>
      </c>
      <c r="U66" s="9" t="str">
        <f aca="false">VLOOKUP($P66,DM_TRANG_THAI!$A$4:$B$9,2,FALSE())</f>
        <v>NP</v>
      </c>
    </row>
    <row r="67" customFormat="false" ht="15.75" hidden="false" customHeight="true" outlineLevel="0" collapsed="false">
      <c r="A67" s="9" t="n">
        <v>64</v>
      </c>
      <c r="B67" s="9" t="s">
        <v>40</v>
      </c>
      <c r="C67" s="10" t="str">
        <f aca="false">VLOOKUP($B67,DM_NHAN_VIEN!$B$4:$F$18,2,FALSE())</f>
        <v>Phạm Công Nhân</v>
      </c>
      <c r="D67" s="9" t="str">
        <f aca="false">VLOOKUP($B67,DM_NHAN_VIEN!$B$4:$F$18,3,FALSE())</f>
        <v>Xưởng sản xuất</v>
      </c>
      <c r="E67" s="9" t="str">
        <f aca="false">VLOOKUP($B67,DM_NHAN_VIEN!$B$4:$F$18,4,FALSE())</f>
        <v>Công nhân</v>
      </c>
      <c r="F67" s="18" t="n">
        <v>46178</v>
      </c>
      <c r="G67" s="9" t="str">
        <f aca="false">CHOOSE(WEEKDAY(F67,2),"Thứ Hai","Thứ Ba","Thứ Tư","Thứ Năm","Thứ Sáu","Thứ Bảy","Chủ Nhật")</f>
        <v>Thứ Sáu</v>
      </c>
      <c r="H67" s="9" t="str">
        <f aca="false">VLOOKUP($B67,DM_NHAN_VIEN!$B$4:$F$18,5,FALSE())</f>
        <v>Ca Hành Chính</v>
      </c>
      <c r="I67" s="9" t="str">
        <f aca="false">VLOOKUP($H67,DM_CA_LAM!$A$4:$C$6,2,FALSE())</f>
        <v>07:30</v>
      </c>
      <c r="J67" s="9" t="str">
        <f aca="false">VLOOKUP($H67,DM_CA_LAM!$A$4:$C$6,3,FALSE())</f>
        <v>17:30</v>
      </c>
      <c r="K67" s="9" t="s">
        <v>92</v>
      </c>
      <c r="L67" s="9" t="s">
        <v>143</v>
      </c>
      <c r="M67" s="9" t="n">
        <f aca="false">IF($K67="","",MAX(0,ROUND((TIMEVALUE($K67)-TIMEVALUE($I67))*1440,0)))</f>
        <v>0</v>
      </c>
      <c r="N67" s="9" t="n">
        <f aca="false">IF($L67="","",MAX(0,ROUND((TIMEVALUE($J67)-TIMEVALUE($L67))*1440,0)))</f>
        <v>0</v>
      </c>
      <c r="O67" s="9" t="n">
        <f aca="false">IF(OR($K67="",$L67=""),0,ROUND(VLOOKUP($H67,DM_CA_LAM!$A$4:$F$6,6,FALSE())-$M67/60-$N67/60,2))</f>
        <v>8</v>
      </c>
      <c r="P67" s="9" t="s">
        <v>108</v>
      </c>
      <c r="Q67" s="9" t="n">
        <v>0</v>
      </c>
      <c r="R67" s="10"/>
      <c r="S67" s="10"/>
      <c r="T67" s="9" t="str">
        <f aca="false">$B67&amp;"_"&amp;TEXT($F67,"yyyymmdd")</f>
        <v>NV005_20260605</v>
      </c>
      <c r="U67" s="9" t="str">
        <f aca="false">VLOOKUP($P67,DM_TRANG_THAI!$A$4:$B$9,2,FALSE())</f>
        <v>P</v>
      </c>
    </row>
    <row r="68" customFormat="false" ht="15.75" hidden="false" customHeight="true" outlineLevel="0" collapsed="false">
      <c r="A68" s="9" t="n">
        <v>65</v>
      </c>
      <c r="B68" s="9" t="s">
        <v>44</v>
      </c>
      <c r="C68" s="10" t="str">
        <f aca="false">VLOOKUP($B68,DM_NHAN_VIEN!$B$4:$F$18,2,FALSE())</f>
        <v>Đỗ Thị Hà</v>
      </c>
      <c r="D68" s="9" t="str">
        <f aca="false">VLOOKUP($B68,DM_NHAN_VIEN!$B$4:$F$18,3,FALSE())</f>
        <v>Hành chính</v>
      </c>
      <c r="E68" s="9" t="str">
        <f aca="false">VLOOKUP($B68,DM_NHAN_VIEN!$B$4:$F$18,4,FALSE())</f>
        <v>Trưởng phòng</v>
      </c>
      <c r="F68" s="18" t="n">
        <v>46178</v>
      </c>
      <c r="G68" s="9" t="str">
        <f aca="false">CHOOSE(WEEKDAY(F68,2),"Thứ Hai","Thứ Ba","Thứ Tư","Thứ Năm","Thứ Sáu","Thứ Bảy","Chủ Nhật")</f>
        <v>Thứ Sáu</v>
      </c>
      <c r="H68" s="9" t="str">
        <f aca="false">VLOOKUP($B68,DM_NHAN_VIEN!$B$4:$F$18,5,FALSE())</f>
        <v>Ca Hành Chính</v>
      </c>
      <c r="I68" s="9" t="str">
        <f aca="false">VLOOKUP($H68,DM_CA_LAM!$A$4:$C$6,2,FALSE())</f>
        <v>07:30</v>
      </c>
      <c r="J68" s="9" t="str">
        <f aca="false">VLOOKUP($H68,DM_CA_LAM!$A$4:$C$6,3,FALSE())</f>
        <v>17:30</v>
      </c>
      <c r="K68" s="9" t="s">
        <v>156</v>
      </c>
      <c r="L68" s="9" t="s">
        <v>163</v>
      </c>
      <c r="M68" s="9" t="n">
        <f aca="false">IF($K68="","",MAX(0,ROUND((TIMEVALUE($K68)-TIMEVALUE($I68))*1440,0)))</f>
        <v>0</v>
      </c>
      <c r="N68" s="9" t="n">
        <f aca="false">IF($L68="","",MAX(0,ROUND((TIMEVALUE($J68)-TIMEVALUE($L68))*1440,0)))</f>
        <v>0</v>
      </c>
      <c r="O68" s="9" t="n">
        <f aca="false">IF(OR($K68="",$L68=""),0,ROUND(VLOOKUP($H68,DM_CA_LAM!$A$4:$F$6,6,FALSE())-$M68/60-$N68/60,2))</f>
        <v>8</v>
      </c>
      <c r="P68" s="9" t="s">
        <v>108</v>
      </c>
      <c r="Q68" s="9" t="n">
        <v>0</v>
      </c>
      <c r="R68" s="10"/>
      <c r="S68" s="10"/>
      <c r="T68" s="9" t="str">
        <f aca="false">$B68&amp;"_"&amp;TEXT($F68,"yyyymmdd")</f>
        <v>NV006_20260605</v>
      </c>
      <c r="U68" s="9" t="str">
        <f aca="false">VLOOKUP($P68,DM_TRANG_THAI!$A$4:$B$9,2,FALSE())</f>
        <v>P</v>
      </c>
    </row>
    <row r="69" customFormat="false" ht="15.75" hidden="false" customHeight="true" outlineLevel="0" collapsed="false">
      <c r="A69" s="9" t="n">
        <v>66</v>
      </c>
      <c r="B69" s="9" t="s">
        <v>47</v>
      </c>
      <c r="C69" s="10" t="str">
        <f aca="false">VLOOKUP($B69,DM_NHAN_VIEN!$B$4:$F$18,2,FALSE())</f>
        <v>Ngô Văn Tài</v>
      </c>
      <c r="D69" s="9" t="str">
        <f aca="false">VLOOKUP($B69,DM_NHAN_VIEN!$B$4:$F$18,3,FALSE())</f>
        <v>Hành chính</v>
      </c>
      <c r="E69" s="9" t="str">
        <f aca="false">VLOOKUP($B69,DM_NHAN_VIEN!$B$4:$F$18,4,FALSE())</f>
        <v>Phó phòng</v>
      </c>
      <c r="F69" s="18" t="n">
        <v>46178</v>
      </c>
      <c r="G69" s="9" t="str">
        <f aca="false">CHOOSE(WEEKDAY(F69,2),"Thứ Hai","Thứ Ba","Thứ Tư","Thứ Năm","Thứ Sáu","Thứ Bảy","Chủ Nhật")</f>
        <v>Thứ Sáu</v>
      </c>
      <c r="H69" s="9" t="str">
        <f aca="false">VLOOKUP($B69,DM_NHAN_VIEN!$B$4:$F$18,5,FALSE())</f>
        <v>Ca Hành Chính</v>
      </c>
      <c r="I69" s="9" t="str">
        <f aca="false">VLOOKUP($H69,DM_CA_LAM!$A$4:$C$6,2,FALSE())</f>
        <v>07:30</v>
      </c>
      <c r="J69" s="9" t="str">
        <f aca="false">VLOOKUP($H69,DM_CA_LAM!$A$4:$C$6,3,FALSE())</f>
        <v>17:30</v>
      </c>
      <c r="K69" s="9" t="s">
        <v>145</v>
      </c>
      <c r="L69" s="9" t="s">
        <v>166</v>
      </c>
      <c r="M69" s="9" t="n">
        <f aca="false">IF($K69="","",MAX(0,ROUND((TIMEVALUE($K69)-TIMEVALUE($I69))*1440,0)))</f>
        <v>0</v>
      </c>
      <c r="N69" s="9" t="n">
        <f aca="false">IF($L69="","",MAX(0,ROUND((TIMEVALUE($J69)-TIMEVALUE($L69))*1440,0)))</f>
        <v>0</v>
      </c>
      <c r="O69" s="9" t="n">
        <f aca="false">IF(OR($K69="",$L69=""),0,ROUND(VLOOKUP($H69,DM_CA_LAM!$A$4:$F$6,6,FALSE())-$M69/60-$N69/60,2))</f>
        <v>8</v>
      </c>
      <c r="P69" s="9" t="s">
        <v>108</v>
      </c>
      <c r="Q69" s="9" t="n">
        <v>0</v>
      </c>
      <c r="R69" s="10"/>
      <c r="S69" s="10"/>
      <c r="T69" s="9" t="str">
        <f aca="false">$B69&amp;"_"&amp;TEXT($F69,"yyyymmdd")</f>
        <v>NV007_20260605</v>
      </c>
      <c r="U69" s="9" t="str">
        <f aca="false">VLOOKUP($P69,DM_TRANG_THAI!$A$4:$B$9,2,FALSE())</f>
        <v>P</v>
      </c>
    </row>
    <row r="70" customFormat="false" ht="15.75" hidden="false" customHeight="true" outlineLevel="0" collapsed="false">
      <c r="A70" s="9" t="n">
        <v>67</v>
      </c>
      <c r="B70" s="9" t="s">
        <v>51</v>
      </c>
      <c r="C70" s="10" t="str">
        <f aca="false">VLOOKUP($B70,DM_NHAN_VIEN!$B$4:$F$18,2,FALSE())</f>
        <v>Vũ Thị Nga</v>
      </c>
      <c r="D70" s="9" t="str">
        <f aca="false">VLOOKUP($B70,DM_NHAN_VIEN!$B$4:$F$18,3,FALSE())</f>
        <v>Hành chính</v>
      </c>
      <c r="E70" s="9" t="str">
        <f aca="false">VLOOKUP($B70,DM_NHAN_VIEN!$B$4:$F$18,4,FALSE())</f>
        <v>Chuyên viên</v>
      </c>
      <c r="F70" s="18" t="n">
        <v>46178</v>
      </c>
      <c r="G70" s="9" t="str">
        <f aca="false">CHOOSE(WEEKDAY(F70,2),"Thứ Hai","Thứ Ba","Thứ Tư","Thứ Năm","Thứ Sáu","Thứ Bảy","Chủ Nhật")</f>
        <v>Thứ Sáu</v>
      </c>
      <c r="H70" s="9" t="str">
        <f aca="false">VLOOKUP($B70,DM_NHAN_VIEN!$B$4:$F$18,5,FALSE())</f>
        <v>Ca Hành Chính</v>
      </c>
      <c r="I70" s="9" t="str">
        <f aca="false">VLOOKUP($H70,DM_CA_LAM!$A$4:$C$6,2,FALSE())</f>
        <v>07:30</v>
      </c>
      <c r="J70" s="9" t="str">
        <f aca="false">VLOOKUP($H70,DM_CA_LAM!$A$4:$C$6,3,FALSE())</f>
        <v>17:30</v>
      </c>
      <c r="K70" s="9" t="s">
        <v>147</v>
      </c>
      <c r="L70" s="9" t="s">
        <v>157</v>
      </c>
      <c r="M70" s="9" t="n">
        <f aca="false">IF($K70="","",MAX(0,ROUND((TIMEVALUE($K70)-TIMEVALUE($I70))*1440,0)))</f>
        <v>0</v>
      </c>
      <c r="N70" s="9" t="n">
        <f aca="false">IF($L70="","",MAX(0,ROUND((TIMEVALUE($J70)-TIMEVALUE($L70))*1440,0)))</f>
        <v>0</v>
      </c>
      <c r="O70" s="9" t="n">
        <f aca="false">IF(OR($K70="",$L70=""),0,ROUND(VLOOKUP($H70,DM_CA_LAM!$A$4:$F$6,6,FALSE())-$M70/60-$N70/60,2))</f>
        <v>8</v>
      </c>
      <c r="P70" s="9" t="s">
        <v>108</v>
      </c>
      <c r="Q70" s="9" t="n">
        <v>0</v>
      </c>
      <c r="R70" s="10"/>
      <c r="S70" s="10"/>
      <c r="T70" s="9" t="str">
        <f aca="false">$B70&amp;"_"&amp;TEXT($F70,"yyyymmdd")</f>
        <v>NV008_20260605</v>
      </c>
      <c r="U70" s="9" t="str">
        <f aca="false">VLOOKUP($P70,DM_TRANG_THAI!$A$4:$B$9,2,FALSE())</f>
        <v>P</v>
      </c>
    </row>
    <row r="71" customFormat="false" ht="15.75" hidden="false" customHeight="true" outlineLevel="0" collapsed="false">
      <c r="A71" s="9" t="n">
        <v>68</v>
      </c>
      <c r="B71" s="9" t="s">
        <v>55</v>
      </c>
      <c r="C71" s="10" t="str">
        <f aca="false">VLOOKUP($B71,DM_NHAN_VIEN!$B$4:$F$18,2,FALSE())</f>
        <v>Đặng Thị Hồng</v>
      </c>
      <c r="D71" s="9" t="str">
        <f aca="false">VLOOKUP($B71,DM_NHAN_VIEN!$B$4:$F$18,3,FALSE())</f>
        <v>Nhân sự</v>
      </c>
      <c r="E71" s="9" t="str">
        <f aca="false">VLOOKUP($B71,DM_NHAN_VIEN!$B$4:$F$18,4,FALSE())</f>
        <v>Chuyên viên</v>
      </c>
      <c r="F71" s="18" t="n">
        <v>46178</v>
      </c>
      <c r="G71" s="9" t="str">
        <f aca="false">CHOOSE(WEEKDAY(F71,2),"Thứ Hai","Thứ Ba","Thứ Tư","Thứ Năm","Thứ Sáu","Thứ Bảy","Chủ Nhật")</f>
        <v>Thứ Sáu</v>
      </c>
      <c r="H71" s="9" t="str">
        <f aca="false">VLOOKUP($B71,DM_NHAN_VIEN!$B$4:$F$18,5,FALSE())</f>
        <v>Ca Hành Chính</v>
      </c>
      <c r="I71" s="9" t="str">
        <f aca="false">VLOOKUP($H71,DM_CA_LAM!$A$4:$C$6,2,FALSE())</f>
        <v>07:30</v>
      </c>
      <c r="J71" s="9" t="str">
        <f aca="false">VLOOKUP($H71,DM_CA_LAM!$A$4:$C$6,3,FALSE())</f>
        <v>17:30</v>
      </c>
      <c r="K71" s="9" t="s">
        <v>147</v>
      </c>
      <c r="L71" s="9" t="s">
        <v>164</v>
      </c>
      <c r="M71" s="9" t="n">
        <f aca="false">IF($K71="","",MAX(0,ROUND((TIMEVALUE($K71)-TIMEVALUE($I71))*1440,0)))</f>
        <v>0</v>
      </c>
      <c r="N71" s="9" t="n">
        <f aca="false">IF($L71="","",MAX(0,ROUND((TIMEVALUE($J71)-TIMEVALUE($L71))*1440,0)))</f>
        <v>0</v>
      </c>
      <c r="O71" s="9" t="n">
        <f aca="false">IF(OR($K71="",$L71=""),0,ROUND(VLOOKUP($H71,DM_CA_LAM!$A$4:$F$6,6,FALSE())-$M71/60-$N71/60,2))</f>
        <v>8</v>
      </c>
      <c r="P71" s="9" t="s">
        <v>108</v>
      </c>
      <c r="Q71" s="9" t="n">
        <v>0</v>
      </c>
      <c r="R71" s="10"/>
      <c r="S71" s="10"/>
      <c r="T71" s="9" t="str">
        <f aca="false">$B71&amp;"_"&amp;TEXT($F71,"yyyymmdd")</f>
        <v>NV010_20260605</v>
      </c>
      <c r="U71" s="9" t="str">
        <f aca="false">VLOOKUP($P71,DM_TRANG_THAI!$A$4:$B$9,2,FALSE())</f>
        <v>P</v>
      </c>
    </row>
    <row r="72" customFormat="false" ht="15.75" hidden="false" customHeight="true" outlineLevel="0" collapsed="false">
      <c r="A72" s="9" t="n">
        <v>69</v>
      </c>
      <c r="B72" s="9" t="s">
        <v>58</v>
      </c>
      <c r="C72" s="10" t="str">
        <f aca="false">VLOOKUP($B72,DM_NHAN_VIEN!$B$4:$F$18,2,FALSE())</f>
        <v>Chu Văn Minh</v>
      </c>
      <c r="D72" s="9" t="str">
        <f aca="false">VLOOKUP($B72,DM_NHAN_VIEN!$B$4:$F$18,3,FALSE())</f>
        <v>Nhân sự</v>
      </c>
      <c r="E72" s="9" t="str">
        <f aca="false">VLOOKUP($B72,DM_NHAN_VIEN!$B$4:$F$18,4,FALSE())</f>
        <v>Chuyên viên</v>
      </c>
      <c r="F72" s="18" t="n">
        <v>46178</v>
      </c>
      <c r="G72" s="9" t="str">
        <f aca="false">CHOOSE(WEEKDAY(F72,2),"Thứ Hai","Thứ Ba","Thứ Tư","Thứ Năm","Thứ Sáu","Thứ Bảy","Chủ Nhật")</f>
        <v>Thứ Sáu</v>
      </c>
      <c r="H72" s="9" t="str">
        <f aca="false">VLOOKUP($B72,DM_NHAN_VIEN!$B$4:$F$18,5,FALSE())</f>
        <v>Ca Hành Chính</v>
      </c>
      <c r="I72" s="9" t="str">
        <f aca="false">VLOOKUP($H72,DM_CA_LAM!$A$4:$C$6,2,FALSE())</f>
        <v>07:30</v>
      </c>
      <c r="J72" s="9" t="str">
        <f aca="false">VLOOKUP($H72,DM_CA_LAM!$A$4:$C$6,3,FALSE())</f>
        <v>17:30</v>
      </c>
      <c r="K72" s="9" t="s">
        <v>167</v>
      </c>
      <c r="L72" s="9" t="s">
        <v>144</v>
      </c>
      <c r="M72" s="9" t="n">
        <f aca="false">IF($K72="","",MAX(0,ROUND((TIMEVALUE($K72)-TIMEVALUE($I72))*1440,0)))</f>
        <v>0</v>
      </c>
      <c r="N72" s="9" t="n">
        <f aca="false">IF($L72="","",MAX(0,ROUND((TIMEVALUE($J72)-TIMEVALUE($L72))*1440,0)))</f>
        <v>0</v>
      </c>
      <c r="O72" s="9" t="n">
        <f aca="false">IF(OR($K72="",$L72=""),0,ROUND(VLOOKUP($H72,DM_CA_LAM!$A$4:$F$6,6,FALSE())-$M72/60-$N72/60,2))</f>
        <v>8</v>
      </c>
      <c r="P72" s="9" t="s">
        <v>108</v>
      </c>
      <c r="Q72" s="9" t="n">
        <v>3</v>
      </c>
      <c r="R72" s="10" t="s">
        <v>177</v>
      </c>
      <c r="S72" s="10"/>
      <c r="T72" s="9" t="str">
        <f aca="false">$B72&amp;"_"&amp;TEXT($F72,"yyyymmdd")</f>
        <v>NV011_20260605</v>
      </c>
      <c r="U72" s="9" t="str">
        <f aca="false">VLOOKUP($P72,DM_TRANG_THAI!$A$4:$B$9,2,FALSE())</f>
        <v>P</v>
      </c>
    </row>
    <row r="73" customFormat="false" ht="15.75" hidden="false" customHeight="true" outlineLevel="0" collapsed="false">
      <c r="A73" s="9" t="n">
        <v>70</v>
      </c>
      <c r="B73" s="9" t="s">
        <v>61</v>
      </c>
      <c r="C73" s="10" t="str">
        <f aca="false">VLOOKUP($B73,DM_NHAN_VIEN!$B$4:$F$18,2,FALSE())</f>
        <v>Phan Thị Khánh</v>
      </c>
      <c r="D73" s="9" t="str">
        <f aca="false">VLOOKUP($B73,DM_NHAN_VIEN!$B$4:$F$18,3,FALSE())</f>
        <v>Kế toán</v>
      </c>
      <c r="E73" s="9" t="str">
        <f aca="false">VLOOKUP($B73,DM_NHAN_VIEN!$B$4:$F$18,4,FALSE())</f>
        <v>Trưởng phòng</v>
      </c>
      <c r="F73" s="18" t="n">
        <v>46178</v>
      </c>
      <c r="G73" s="9" t="str">
        <f aca="false">CHOOSE(WEEKDAY(F73,2),"Thứ Hai","Thứ Ba","Thứ Tư","Thứ Năm","Thứ Sáu","Thứ Bảy","Chủ Nhật")</f>
        <v>Thứ Sáu</v>
      </c>
      <c r="H73" s="9" t="str">
        <f aca="false">VLOOKUP($B73,DM_NHAN_VIEN!$B$4:$F$18,5,FALSE())</f>
        <v>Ca Hành Chính</v>
      </c>
      <c r="I73" s="9" t="str">
        <f aca="false">VLOOKUP($H73,DM_CA_LAM!$A$4:$C$6,2,FALSE())</f>
        <v>07:30</v>
      </c>
      <c r="J73" s="9" t="str">
        <f aca="false">VLOOKUP($H73,DM_CA_LAM!$A$4:$C$6,3,FALSE())</f>
        <v>17:30</v>
      </c>
      <c r="K73" s="9" t="s">
        <v>160</v>
      </c>
      <c r="L73" s="9" t="s">
        <v>170</v>
      </c>
      <c r="M73" s="9" t="n">
        <f aca="false">IF($K73="","",MAX(0,ROUND((TIMEVALUE($K73)-TIMEVALUE($I73))*1440,0)))</f>
        <v>0</v>
      </c>
      <c r="N73" s="9" t="n">
        <f aca="false">IF($L73="","",MAX(0,ROUND((TIMEVALUE($J73)-TIMEVALUE($L73))*1440,0)))</f>
        <v>0</v>
      </c>
      <c r="O73" s="9" t="n">
        <f aca="false">IF(OR($K73="",$L73=""),0,ROUND(VLOOKUP($H73,DM_CA_LAM!$A$4:$F$6,6,FALSE())-$M73/60-$N73/60,2))</f>
        <v>8</v>
      </c>
      <c r="P73" s="9" t="s">
        <v>108</v>
      </c>
      <c r="Q73" s="9" t="n">
        <v>0</v>
      </c>
      <c r="R73" s="10"/>
      <c r="S73" s="10"/>
      <c r="T73" s="9" t="str">
        <f aca="false">$B73&amp;"_"&amp;TEXT($F73,"yyyymmdd")</f>
        <v>NV014_20260605</v>
      </c>
      <c r="U73" s="9" t="str">
        <f aca="false">VLOOKUP($P73,DM_TRANG_THAI!$A$4:$B$9,2,FALSE())</f>
        <v>P</v>
      </c>
    </row>
    <row r="74" customFormat="false" ht="15.75" hidden="false" customHeight="true" outlineLevel="0" collapsed="false">
      <c r="A74" s="9" t="n">
        <v>71</v>
      </c>
      <c r="B74" s="9" t="s">
        <v>65</v>
      </c>
      <c r="C74" s="10" t="str">
        <f aca="false">VLOOKUP($B74,DM_NHAN_VIEN!$B$4:$F$18,2,FALSE())</f>
        <v>Trịnh Văn Hùng</v>
      </c>
      <c r="D74" s="9" t="str">
        <f aca="false">VLOOKUP($B74,DM_NHAN_VIEN!$B$4:$F$18,3,FALSE())</f>
        <v>Kế toán</v>
      </c>
      <c r="E74" s="9" t="str">
        <f aca="false">VLOOKUP($B74,DM_NHAN_VIEN!$B$4:$F$18,4,FALSE())</f>
        <v>Phó phòng</v>
      </c>
      <c r="F74" s="18" t="n">
        <v>46178</v>
      </c>
      <c r="G74" s="9" t="str">
        <f aca="false">CHOOSE(WEEKDAY(F74,2),"Thứ Hai","Thứ Ba","Thứ Tư","Thứ Năm","Thứ Sáu","Thứ Bảy","Chủ Nhật")</f>
        <v>Thứ Sáu</v>
      </c>
      <c r="H74" s="9" t="str">
        <f aca="false">VLOOKUP($B74,DM_NHAN_VIEN!$B$4:$F$18,5,FALSE())</f>
        <v>Ca Hành Chính</v>
      </c>
      <c r="I74" s="9" t="str">
        <f aca="false">VLOOKUP($H74,DM_CA_LAM!$A$4:$C$6,2,FALSE())</f>
        <v>07:30</v>
      </c>
      <c r="J74" s="9" t="str">
        <f aca="false">VLOOKUP($H74,DM_CA_LAM!$A$4:$C$6,3,FALSE())</f>
        <v>17:30</v>
      </c>
      <c r="K74" s="9" t="s">
        <v>147</v>
      </c>
      <c r="L74" s="9" t="s">
        <v>146</v>
      </c>
      <c r="M74" s="9" t="n">
        <f aca="false">IF($K74="","",MAX(0,ROUND((TIMEVALUE($K74)-TIMEVALUE($I74))*1440,0)))</f>
        <v>0</v>
      </c>
      <c r="N74" s="9" t="n">
        <f aca="false">IF($L74="","",MAX(0,ROUND((TIMEVALUE($J74)-TIMEVALUE($L74))*1440,0)))</f>
        <v>0</v>
      </c>
      <c r="O74" s="9" t="n">
        <f aca="false">IF(OR($K74="",$L74=""),0,ROUND(VLOOKUP($H74,DM_CA_LAM!$A$4:$F$6,6,FALSE())-$M74/60-$N74/60,2))</f>
        <v>8</v>
      </c>
      <c r="P74" s="9" t="s">
        <v>108</v>
      </c>
      <c r="Q74" s="9" t="n">
        <v>0</v>
      </c>
      <c r="R74" s="10"/>
      <c r="S74" s="10"/>
      <c r="T74" s="9" t="str">
        <f aca="false">$B74&amp;"_"&amp;TEXT($F74,"yyyymmdd")</f>
        <v>NV015_20260605</v>
      </c>
      <c r="U74" s="9" t="str">
        <f aca="false">VLOOKUP($P74,DM_TRANG_THAI!$A$4:$B$9,2,FALSE())</f>
        <v>P</v>
      </c>
    </row>
    <row r="75" customFormat="false" ht="15.75" hidden="false" customHeight="true" outlineLevel="0" collapsed="false">
      <c r="A75" s="9" t="n">
        <v>72</v>
      </c>
      <c r="B75" s="9" t="s">
        <v>68</v>
      </c>
      <c r="C75" s="10" t="str">
        <f aca="false">VLOOKUP($B75,DM_NHAN_VIEN!$B$4:$F$18,2,FALSE())</f>
        <v>Hoàng Văn Lộc</v>
      </c>
      <c r="D75" s="9" t="str">
        <f aca="false">VLOOKUP($B75,DM_NHAN_VIEN!$B$4:$F$18,3,FALSE())</f>
        <v>Kinh doanh</v>
      </c>
      <c r="E75" s="9" t="str">
        <f aca="false">VLOOKUP($B75,DM_NHAN_VIEN!$B$4:$F$18,4,FALSE())</f>
        <v>Trưởng phòng</v>
      </c>
      <c r="F75" s="18" t="n">
        <v>46178</v>
      </c>
      <c r="G75" s="9" t="str">
        <f aca="false">CHOOSE(WEEKDAY(F75,2),"Thứ Hai","Thứ Ba","Thứ Tư","Thứ Năm","Thứ Sáu","Thứ Bảy","Chủ Nhật")</f>
        <v>Thứ Sáu</v>
      </c>
      <c r="H75" s="9" t="str">
        <f aca="false">VLOOKUP($B75,DM_NHAN_VIEN!$B$4:$F$18,5,FALSE())</f>
        <v>Ca Hành Chính</v>
      </c>
      <c r="I75" s="9" t="str">
        <f aca="false">VLOOKUP($H75,DM_CA_LAM!$A$4:$C$6,2,FALSE())</f>
        <v>07:30</v>
      </c>
      <c r="J75" s="9" t="str">
        <f aca="false">VLOOKUP($H75,DM_CA_LAM!$A$4:$C$6,3,FALSE())</f>
        <v>17:30</v>
      </c>
      <c r="K75" s="9"/>
      <c r="L75" s="9"/>
      <c r="M75" s="9" t="str">
        <f aca="false">IF($K75="","",MAX(0,ROUND((TIMEVALUE($K75)-TIMEVALUE($I75))*1440,0)))</f>
        <v/>
      </c>
      <c r="N75" s="9" t="str">
        <f aca="false">IF($L75="","",MAX(0,ROUND((TIMEVALUE($J75)-TIMEVALUE($L75))*1440,0)))</f>
        <v/>
      </c>
      <c r="O75" s="9" t="n">
        <f aca="false">IF(OR($K75="",$L75=""),0,ROUND(VLOOKUP($H75,DM_CA_LAM!$A$4:$F$6,6,FALSE())-$M75/60-$N75/60,2))</f>
        <v>0</v>
      </c>
      <c r="P75" s="9" t="s">
        <v>114</v>
      </c>
      <c r="Q75" s="9" t="n">
        <v>0</v>
      </c>
      <c r="R75" s="10"/>
      <c r="S75" s="10"/>
      <c r="T75" s="9" t="str">
        <f aca="false">$B75&amp;"_"&amp;TEXT($F75,"yyyymmdd")</f>
        <v>NV019_20260605</v>
      </c>
      <c r="U75" s="9" t="str">
        <f aca="false">VLOOKUP($P75,DM_TRANG_THAI!$A$4:$B$9,2,FALSE())</f>
        <v>A</v>
      </c>
    </row>
    <row r="76" customFormat="false" ht="15.75" hidden="false" customHeight="true" outlineLevel="0" collapsed="false">
      <c r="A76" s="9" t="n">
        <v>73</v>
      </c>
      <c r="B76" s="9" t="s">
        <v>72</v>
      </c>
      <c r="C76" s="10" t="str">
        <f aca="false">VLOOKUP($B76,DM_NHAN_VIEN!$B$4:$F$18,2,FALSE())</f>
        <v>Nguyễn Văn Phú</v>
      </c>
      <c r="D76" s="9" t="str">
        <f aca="false">VLOOKUP($B76,DM_NHAN_VIEN!$B$4:$F$18,3,FALSE())</f>
        <v>Kinh doanh</v>
      </c>
      <c r="E76" s="9" t="str">
        <f aca="false">VLOOKUP($B76,DM_NHAN_VIEN!$B$4:$F$18,4,FALSE())</f>
        <v>Nhân viên</v>
      </c>
      <c r="F76" s="18" t="n">
        <v>46178</v>
      </c>
      <c r="G76" s="9" t="str">
        <f aca="false">CHOOSE(WEEKDAY(F76,2),"Thứ Hai","Thứ Ba","Thứ Tư","Thứ Năm","Thứ Sáu","Thứ Bảy","Chủ Nhật")</f>
        <v>Thứ Sáu</v>
      </c>
      <c r="H76" s="9" t="str">
        <f aca="false">VLOOKUP($B76,DM_NHAN_VIEN!$B$4:$F$18,5,FALSE())</f>
        <v>Ca Hành Chính</v>
      </c>
      <c r="I76" s="9" t="str">
        <f aca="false">VLOOKUP($H76,DM_CA_LAM!$A$4:$C$6,2,FALSE())</f>
        <v>07:30</v>
      </c>
      <c r="J76" s="9" t="str">
        <f aca="false">VLOOKUP($H76,DM_CA_LAM!$A$4:$C$6,3,FALSE())</f>
        <v>17:30</v>
      </c>
      <c r="K76" s="9" t="s">
        <v>161</v>
      </c>
      <c r="L76" s="9" t="s">
        <v>149</v>
      </c>
      <c r="M76" s="9" t="n">
        <f aca="false">IF($K76="","",MAX(0,ROUND((TIMEVALUE($K76)-TIMEVALUE($I76))*1440,0)))</f>
        <v>0</v>
      </c>
      <c r="N76" s="9" t="n">
        <f aca="false">IF($L76="","",MAX(0,ROUND((TIMEVALUE($J76)-TIMEVALUE($L76))*1440,0)))</f>
        <v>0</v>
      </c>
      <c r="O76" s="9" t="n">
        <f aca="false">IF(OR($K76="",$L76=""),0,ROUND(VLOOKUP($H76,DM_CA_LAM!$A$4:$F$6,6,FALSE())-$M76/60-$N76/60,2))</f>
        <v>8</v>
      </c>
      <c r="P76" s="9" t="s">
        <v>108</v>
      </c>
      <c r="Q76" s="9" t="n">
        <v>0</v>
      </c>
      <c r="R76" s="10"/>
      <c r="S76" s="10"/>
      <c r="T76" s="9" t="str">
        <f aca="false">$B76&amp;"_"&amp;TEXT($F76,"yyyymmdd")</f>
        <v>NV021_20260605</v>
      </c>
      <c r="U76" s="9" t="str">
        <f aca="false">VLOOKUP($P76,DM_TRANG_THAI!$A$4:$B$9,2,FALSE())</f>
        <v>P</v>
      </c>
    </row>
    <row r="77" customFormat="false" ht="15.75" hidden="false" customHeight="true" outlineLevel="0" collapsed="false">
      <c r="A77" s="9" t="n">
        <v>74</v>
      </c>
      <c r="B77" s="9" t="s">
        <v>76</v>
      </c>
      <c r="C77" s="10" t="str">
        <f aca="false">VLOOKUP($B77,DM_NHAN_VIEN!$B$4:$F$18,2,FALSE())</f>
        <v>Lý Văn Dũng</v>
      </c>
      <c r="D77" s="9" t="str">
        <f aca="false">VLOOKUP($B77,DM_NHAN_VIEN!$B$4:$F$18,3,FALSE())</f>
        <v>Xưởng sản xuất</v>
      </c>
      <c r="E77" s="9" t="str">
        <f aca="false">VLOOKUP($B77,DM_NHAN_VIEN!$B$4:$F$18,4,FALSE())</f>
        <v>Tổ trưởng</v>
      </c>
      <c r="F77" s="18" t="n">
        <v>46178</v>
      </c>
      <c r="G77" s="9" t="str">
        <f aca="false">CHOOSE(WEEKDAY(F77,2),"Thứ Hai","Thứ Ba","Thứ Tư","Thứ Năm","Thứ Sáu","Thứ Bảy","Chủ Nhật")</f>
        <v>Thứ Sáu</v>
      </c>
      <c r="H77" s="9" t="str">
        <f aca="false">VLOOKUP($B77,DM_NHAN_VIEN!$B$4:$F$18,5,FALSE())</f>
        <v>Ca Hành Chính</v>
      </c>
      <c r="I77" s="9" t="str">
        <f aca="false">VLOOKUP($H77,DM_CA_LAM!$A$4:$C$6,2,FALSE())</f>
        <v>07:30</v>
      </c>
      <c r="J77" s="9" t="str">
        <f aca="false">VLOOKUP($H77,DM_CA_LAM!$A$4:$C$6,3,FALSE())</f>
        <v>17:30</v>
      </c>
      <c r="K77" s="9" t="s">
        <v>150</v>
      </c>
      <c r="L77" s="9" t="s">
        <v>164</v>
      </c>
      <c r="M77" s="9" t="n">
        <f aca="false">IF($K77="","",MAX(0,ROUND((TIMEVALUE($K77)-TIMEVALUE($I77))*1440,0)))</f>
        <v>0</v>
      </c>
      <c r="N77" s="9" t="n">
        <f aca="false">IF($L77="","",MAX(0,ROUND((TIMEVALUE($J77)-TIMEVALUE($L77))*1440,0)))</f>
        <v>0</v>
      </c>
      <c r="O77" s="9" t="n">
        <f aca="false">IF(OR($K77="",$L77=""),0,ROUND(VLOOKUP($H77,DM_CA_LAM!$A$4:$F$6,6,FALSE())-$M77/60-$N77/60,2))</f>
        <v>8</v>
      </c>
      <c r="P77" s="9" t="s">
        <v>108</v>
      </c>
      <c r="Q77" s="9" t="n">
        <v>0</v>
      </c>
      <c r="R77" s="10"/>
      <c r="S77" s="10"/>
      <c r="T77" s="9" t="str">
        <f aca="false">$B77&amp;"_"&amp;TEXT($F77,"yyyymmdd")</f>
        <v>NV029_20260605</v>
      </c>
      <c r="U77" s="9" t="str">
        <f aca="false">VLOOKUP($P77,DM_TRANG_THAI!$A$4:$B$9,2,FALSE())</f>
        <v>P</v>
      </c>
    </row>
    <row r="78" customFormat="false" ht="15.75" hidden="false" customHeight="true" outlineLevel="0" collapsed="false">
      <c r="A78" s="9" t="n">
        <v>75</v>
      </c>
      <c r="B78" s="9" t="s">
        <v>80</v>
      </c>
      <c r="C78" s="10" t="str">
        <f aca="false">VLOOKUP($B78,DM_NHAN_VIEN!$B$4:$F$18,2,FALSE())</f>
        <v>Tống Văn Thắng</v>
      </c>
      <c r="D78" s="9" t="str">
        <f aca="false">VLOOKUP($B78,DM_NHAN_VIEN!$B$4:$F$18,3,FALSE())</f>
        <v>Xưởng sản xuất</v>
      </c>
      <c r="E78" s="9" t="str">
        <f aca="false">VLOOKUP($B78,DM_NHAN_VIEN!$B$4:$F$18,4,FALSE())</f>
        <v>Tổ trưởng</v>
      </c>
      <c r="F78" s="18" t="n">
        <v>46178</v>
      </c>
      <c r="G78" s="9" t="str">
        <f aca="false">CHOOSE(WEEKDAY(F78,2),"Thứ Hai","Thứ Ba","Thứ Tư","Thứ Năm","Thứ Sáu","Thứ Bảy","Chủ Nhật")</f>
        <v>Thứ Sáu</v>
      </c>
      <c r="H78" s="9" t="str">
        <f aca="false">VLOOKUP($B78,DM_NHAN_VIEN!$B$4:$F$18,5,FALSE())</f>
        <v>Ca Hành Chính</v>
      </c>
      <c r="I78" s="9" t="str">
        <f aca="false">VLOOKUP($H78,DM_CA_LAM!$A$4:$C$6,2,FALSE())</f>
        <v>07:30</v>
      </c>
      <c r="J78" s="9" t="str">
        <f aca="false">VLOOKUP($H78,DM_CA_LAM!$A$4:$C$6,3,FALSE())</f>
        <v>17:30</v>
      </c>
      <c r="K78" s="9" t="s">
        <v>161</v>
      </c>
      <c r="L78" s="9" t="s">
        <v>170</v>
      </c>
      <c r="M78" s="9" t="n">
        <f aca="false">IF($K78="","",MAX(0,ROUND((TIMEVALUE($K78)-TIMEVALUE($I78))*1440,0)))</f>
        <v>0</v>
      </c>
      <c r="N78" s="9" t="n">
        <f aca="false">IF($L78="","",MAX(0,ROUND((TIMEVALUE($J78)-TIMEVALUE($L78))*1440,0)))</f>
        <v>0</v>
      </c>
      <c r="O78" s="9" t="n">
        <f aca="false">IF(OR($K78="",$L78=""),0,ROUND(VLOOKUP($H78,DM_CA_LAM!$A$4:$F$6,6,FALSE())-$M78/60-$N78/60,2))</f>
        <v>8</v>
      </c>
      <c r="P78" s="9" t="s">
        <v>108</v>
      </c>
      <c r="Q78" s="9" t="n">
        <v>0</v>
      </c>
      <c r="R78" s="10"/>
      <c r="S78" s="10"/>
      <c r="T78" s="9" t="str">
        <f aca="false">$B78&amp;"_"&amp;TEXT($F78,"yyyymmdd")</f>
        <v>NV030_20260605</v>
      </c>
      <c r="U78" s="9" t="str">
        <f aca="false">VLOOKUP($P78,DM_TRANG_THAI!$A$4:$B$9,2,FALSE())</f>
        <v>P</v>
      </c>
    </row>
    <row r="79" customFormat="false" ht="15.75" hidden="false" customHeight="true" outlineLevel="0" collapsed="false">
      <c r="A79" s="9" t="n">
        <v>76</v>
      </c>
      <c r="B79" s="9" t="s">
        <v>24</v>
      </c>
      <c r="C79" s="10" t="str">
        <f aca="false">VLOOKUP($B79,DM_NHAN_VIEN!$B$4:$F$18,2,FALSE())</f>
        <v>Nguyễn Văn Giám Đốc</v>
      </c>
      <c r="D79" s="9" t="str">
        <f aca="false">VLOOKUP($B79,DM_NHAN_VIEN!$B$4:$F$18,3,FALSE())</f>
        <v>Hành chính</v>
      </c>
      <c r="E79" s="9" t="str">
        <f aca="false">VLOOKUP($B79,DM_NHAN_VIEN!$B$4:$F$18,4,FALSE())</f>
        <v>Giám đốc</v>
      </c>
      <c r="F79" s="18" t="n">
        <v>46179</v>
      </c>
      <c r="G79" s="9" t="str">
        <f aca="false">CHOOSE(WEEKDAY(F79,2),"Thứ Hai","Thứ Ba","Thứ Tư","Thứ Năm","Thứ Sáu","Thứ Bảy","Chủ Nhật")</f>
        <v>Thứ Bảy</v>
      </c>
      <c r="H79" s="9" t="str">
        <f aca="false">VLOOKUP($B79,DM_NHAN_VIEN!$B$4:$F$18,5,FALSE())</f>
        <v>Ca Hành Chính</v>
      </c>
      <c r="I79" s="9" t="str">
        <f aca="false">VLOOKUP($H79,DM_CA_LAM!$A$4:$C$6,2,FALSE())</f>
        <v>07:30</v>
      </c>
      <c r="J79" s="9" t="str">
        <f aca="false">VLOOKUP($H79,DM_CA_LAM!$A$4:$C$6,3,FALSE())</f>
        <v>17:30</v>
      </c>
      <c r="K79" s="9" t="s">
        <v>142</v>
      </c>
      <c r="L79" s="9" t="s">
        <v>174</v>
      </c>
      <c r="M79" s="9" t="n">
        <f aca="false">IF($K79="","",MAX(0,ROUND((TIMEVALUE($K79)-TIMEVALUE($I79))*1440,0)))</f>
        <v>0</v>
      </c>
      <c r="N79" s="9" t="n">
        <f aca="false">IF($L79="","",MAX(0,ROUND((TIMEVALUE($J79)-TIMEVALUE($L79))*1440,0)))</f>
        <v>0</v>
      </c>
      <c r="O79" s="9" t="n">
        <f aca="false">IF(OR($K79="",$L79=""),0,ROUND(VLOOKUP($H79,DM_CA_LAM!$A$4:$F$6,6,FALSE())-$M79/60-$N79/60,2))</f>
        <v>8</v>
      </c>
      <c r="P79" s="9" t="s">
        <v>108</v>
      </c>
      <c r="Q79" s="9" t="n">
        <v>0</v>
      </c>
      <c r="R79" s="10"/>
      <c r="S79" s="10"/>
      <c r="T79" s="9" t="str">
        <f aca="false">$B79&amp;"_"&amp;TEXT($F79,"yyyymmdd")</f>
        <v>NV002_20260606</v>
      </c>
      <c r="U79" s="9" t="str">
        <f aca="false">VLOOKUP($P79,DM_TRANG_THAI!$A$4:$B$9,2,FALSE())</f>
        <v>P</v>
      </c>
    </row>
    <row r="80" customFormat="false" ht="15.75" hidden="false" customHeight="true" outlineLevel="0" collapsed="false">
      <c r="A80" s="9" t="n">
        <v>77</v>
      </c>
      <c r="B80" s="9" t="s">
        <v>30</v>
      </c>
      <c r="C80" s="10" t="str">
        <f aca="false">VLOOKUP($B80,DM_NHAN_VIEN!$B$4:$F$18,2,FALSE())</f>
        <v>Trần Thị Nhân Sự</v>
      </c>
      <c r="D80" s="9" t="str">
        <f aca="false">VLOOKUP($B80,DM_NHAN_VIEN!$B$4:$F$18,3,FALSE())</f>
        <v>Nhân sự</v>
      </c>
      <c r="E80" s="9" t="str">
        <f aca="false">VLOOKUP($B80,DM_NHAN_VIEN!$B$4:$F$18,4,FALSE())</f>
        <v>Trưởng phòng</v>
      </c>
      <c r="F80" s="18" t="n">
        <v>46179</v>
      </c>
      <c r="G80" s="9" t="str">
        <f aca="false">CHOOSE(WEEKDAY(F80,2),"Thứ Hai","Thứ Ba","Thứ Tư","Thứ Năm","Thứ Sáu","Thứ Bảy","Chủ Nhật")</f>
        <v>Thứ Bảy</v>
      </c>
      <c r="H80" s="9" t="str">
        <f aca="false">VLOOKUP($B80,DM_NHAN_VIEN!$B$4:$F$18,5,FALSE())</f>
        <v>Ca Hành Chính</v>
      </c>
      <c r="I80" s="9" t="str">
        <f aca="false">VLOOKUP($H80,DM_CA_LAM!$A$4:$C$6,2,FALSE())</f>
        <v>07:30</v>
      </c>
      <c r="J80" s="9" t="str">
        <f aca="false">VLOOKUP($H80,DM_CA_LAM!$A$4:$C$6,3,FALSE())</f>
        <v>17:30</v>
      </c>
      <c r="K80" s="9" t="s">
        <v>161</v>
      </c>
      <c r="L80" s="9" t="s">
        <v>146</v>
      </c>
      <c r="M80" s="9" t="n">
        <f aca="false">IF($K80="","",MAX(0,ROUND((TIMEVALUE($K80)-TIMEVALUE($I80))*1440,0)))</f>
        <v>0</v>
      </c>
      <c r="N80" s="9" t="n">
        <f aca="false">IF($L80="","",MAX(0,ROUND((TIMEVALUE($J80)-TIMEVALUE($L80))*1440,0)))</f>
        <v>0</v>
      </c>
      <c r="O80" s="9" t="n">
        <f aca="false">IF(OR($K80="",$L80=""),0,ROUND(VLOOKUP($H80,DM_CA_LAM!$A$4:$F$6,6,FALSE())-$M80/60-$N80/60,2))</f>
        <v>8</v>
      </c>
      <c r="P80" s="9" t="s">
        <v>108</v>
      </c>
      <c r="Q80" s="9" t="n">
        <v>2.5</v>
      </c>
      <c r="R80" s="10" t="s">
        <v>177</v>
      </c>
      <c r="S80" s="10"/>
      <c r="T80" s="9" t="str">
        <f aca="false">$B80&amp;"_"&amp;TEXT($F80,"yyyymmdd")</f>
        <v>NV003_20260606</v>
      </c>
      <c r="U80" s="9" t="str">
        <f aca="false">VLOOKUP($P80,DM_TRANG_THAI!$A$4:$B$9,2,FALSE())</f>
        <v>P</v>
      </c>
    </row>
    <row r="81" customFormat="false" ht="15.75" hidden="false" customHeight="true" outlineLevel="0" collapsed="false">
      <c r="A81" s="9" t="n">
        <v>78</v>
      </c>
      <c r="B81" s="9" t="s">
        <v>35</v>
      </c>
      <c r="C81" s="10" t="str">
        <f aca="false">VLOOKUP($B81,DM_NHAN_VIEN!$B$4:$F$18,2,FALSE())</f>
        <v>Lê Văn Quản Đốc</v>
      </c>
      <c r="D81" s="9" t="str">
        <f aca="false">VLOOKUP($B81,DM_NHAN_VIEN!$B$4:$F$18,3,FALSE())</f>
        <v>Xưởng sản xuất</v>
      </c>
      <c r="E81" s="9" t="str">
        <f aca="false">VLOOKUP($B81,DM_NHAN_VIEN!$B$4:$F$18,4,FALSE())</f>
        <v>Quản đốc</v>
      </c>
      <c r="F81" s="18" t="n">
        <v>46179</v>
      </c>
      <c r="G81" s="9" t="str">
        <f aca="false">CHOOSE(WEEKDAY(F81,2),"Thứ Hai","Thứ Ba","Thứ Tư","Thứ Năm","Thứ Sáu","Thứ Bảy","Chủ Nhật")</f>
        <v>Thứ Bảy</v>
      </c>
      <c r="H81" s="9" t="str">
        <f aca="false">VLOOKUP($B81,DM_NHAN_VIEN!$B$4:$F$18,5,FALSE())</f>
        <v>Ca Hành Chính</v>
      </c>
      <c r="I81" s="9" t="str">
        <f aca="false">VLOOKUP($H81,DM_CA_LAM!$A$4:$C$6,2,FALSE())</f>
        <v>07:30</v>
      </c>
      <c r="J81" s="9" t="str">
        <f aca="false">VLOOKUP($H81,DM_CA_LAM!$A$4:$C$6,3,FALSE())</f>
        <v>17:30</v>
      </c>
      <c r="K81" s="9"/>
      <c r="L81" s="9"/>
      <c r="M81" s="9" t="str">
        <f aca="false">IF($K81="","",MAX(0,ROUND((TIMEVALUE($K81)-TIMEVALUE($I81))*1440,0)))</f>
        <v/>
      </c>
      <c r="N81" s="9" t="str">
        <f aca="false">IF($L81="","",MAX(0,ROUND((TIMEVALUE($J81)-TIMEVALUE($L81))*1440,0)))</f>
        <v/>
      </c>
      <c r="O81" s="9" t="n">
        <f aca="false">IF(OR($K81="",$L81=""),0,ROUND(VLOOKUP($H81,DM_CA_LAM!$A$4:$F$6,6,FALSE())-$M81/60-$N81/60,2))</f>
        <v>0</v>
      </c>
      <c r="P81" s="9" t="s">
        <v>114</v>
      </c>
      <c r="Q81" s="9" t="n">
        <v>0</v>
      </c>
      <c r="R81" s="10"/>
      <c r="S81" s="10" t="s">
        <v>178</v>
      </c>
      <c r="T81" s="9" t="str">
        <f aca="false">$B81&amp;"_"&amp;TEXT($F81,"yyyymmdd")</f>
        <v>NV004_20260606</v>
      </c>
      <c r="U81" s="9" t="str">
        <f aca="false">VLOOKUP($P81,DM_TRANG_THAI!$A$4:$B$9,2,FALSE())</f>
        <v>A</v>
      </c>
    </row>
    <row r="82" customFormat="false" ht="15.75" hidden="false" customHeight="true" outlineLevel="0" collapsed="false">
      <c r="A82" s="9" t="n">
        <v>79</v>
      </c>
      <c r="B82" s="9" t="s">
        <v>40</v>
      </c>
      <c r="C82" s="10" t="str">
        <f aca="false">VLOOKUP($B82,DM_NHAN_VIEN!$B$4:$F$18,2,FALSE())</f>
        <v>Phạm Công Nhân</v>
      </c>
      <c r="D82" s="9" t="str">
        <f aca="false">VLOOKUP($B82,DM_NHAN_VIEN!$B$4:$F$18,3,FALSE())</f>
        <v>Xưởng sản xuất</v>
      </c>
      <c r="E82" s="9" t="str">
        <f aca="false">VLOOKUP($B82,DM_NHAN_VIEN!$B$4:$F$18,4,FALSE())</f>
        <v>Công nhân</v>
      </c>
      <c r="F82" s="18" t="n">
        <v>46179</v>
      </c>
      <c r="G82" s="9" t="str">
        <f aca="false">CHOOSE(WEEKDAY(F82,2),"Thứ Hai","Thứ Ba","Thứ Tư","Thứ Năm","Thứ Sáu","Thứ Bảy","Chủ Nhật")</f>
        <v>Thứ Bảy</v>
      </c>
      <c r="H82" s="9" t="str">
        <f aca="false">VLOOKUP($B82,DM_NHAN_VIEN!$B$4:$F$18,5,FALSE())</f>
        <v>Ca Hành Chính</v>
      </c>
      <c r="I82" s="9" t="str">
        <f aca="false">VLOOKUP($H82,DM_CA_LAM!$A$4:$C$6,2,FALSE())</f>
        <v>07:30</v>
      </c>
      <c r="J82" s="9" t="str">
        <f aca="false">VLOOKUP($H82,DM_CA_LAM!$A$4:$C$6,3,FALSE())</f>
        <v>17:30</v>
      </c>
      <c r="K82" s="9" t="s">
        <v>142</v>
      </c>
      <c r="L82" s="9" t="s">
        <v>162</v>
      </c>
      <c r="M82" s="9" t="n">
        <f aca="false">IF($K82="","",MAX(0,ROUND((TIMEVALUE($K82)-TIMEVALUE($I82))*1440,0)))</f>
        <v>0</v>
      </c>
      <c r="N82" s="9" t="n">
        <f aca="false">IF($L82="","",MAX(0,ROUND((TIMEVALUE($J82)-TIMEVALUE($L82))*1440,0)))</f>
        <v>0</v>
      </c>
      <c r="O82" s="9" t="n">
        <f aca="false">IF(OR($K82="",$L82=""),0,ROUND(VLOOKUP($H82,DM_CA_LAM!$A$4:$F$6,6,FALSE())-$M82/60-$N82/60,2))</f>
        <v>8</v>
      </c>
      <c r="P82" s="9" t="s">
        <v>108</v>
      </c>
      <c r="Q82" s="9" t="n">
        <v>0</v>
      </c>
      <c r="R82" s="10"/>
      <c r="S82" s="10"/>
      <c r="T82" s="9" t="str">
        <f aca="false">$B82&amp;"_"&amp;TEXT($F82,"yyyymmdd")</f>
        <v>NV005_20260606</v>
      </c>
      <c r="U82" s="9" t="str">
        <f aca="false">VLOOKUP($P82,DM_TRANG_THAI!$A$4:$B$9,2,FALSE())</f>
        <v>P</v>
      </c>
    </row>
    <row r="83" customFormat="false" ht="15.75" hidden="false" customHeight="true" outlineLevel="0" collapsed="false">
      <c r="A83" s="9" t="n">
        <v>80</v>
      </c>
      <c r="B83" s="9" t="s">
        <v>44</v>
      </c>
      <c r="C83" s="10" t="str">
        <f aca="false">VLOOKUP($B83,DM_NHAN_VIEN!$B$4:$F$18,2,FALSE())</f>
        <v>Đỗ Thị Hà</v>
      </c>
      <c r="D83" s="9" t="str">
        <f aca="false">VLOOKUP($B83,DM_NHAN_VIEN!$B$4:$F$18,3,FALSE())</f>
        <v>Hành chính</v>
      </c>
      <c r="E83" s="9" t="str">
        <f aca="false">VLOOKUP($B83,DM_NHAN_VIEN!$B$4:$F$18,4,FALSE())</f>
        <v>Trưởng phòng</v>
      </c>
      <c r="F83" s="18" t="n">
        <v>46179</v>
      </c>
      <c r="G83" s="9" t="str">
        <f aca="false">CHOOSE(WEEKDAY(F83,2),"Thứ Hai","Thứ Ba","Thứ Tư","Thứ Năm","Thứ Sáu","Thứ Bảy","Chủ Nhật")</f>
        <v>Thứ Bảy</v>
      </c>
      <c r="H83" s="9" t="str">
        <f aca="false">VLOOKUP($B83,DM_NHAN_VIEN!$B$4:$F$18,5,FALSE())</f>
        <v>Ca Hành Chính</v>
      </c>
      <c r="I83" s="9" t="str">
        <f aca="false">VLOOKUP($H83,DM_CA_LAM!$A$4:$C$6,2,FALSE())</f>
        <v>07:30</v>
      </c>
      <c r="J83" s="9" t="str">
        <f aca="false">VLOOKUP($H83,DM_CA_LAM!$A$4:$C$6,3,FALSE())</f>
        <v>17:30</v>
      </c>
      <c r="K83" s="9" t="s">
        <v>150</v>
      </c>
      <c r="L83" s="9" t="s">
        <v>159</v>
      </c>
      <c r="M83" s="9" t="n">
        <f aca="false">IF($K83="","",MAX(0,ROUND((TIMEVALUE($K83)-TIMEVALUE($I83))*1440,0)))</f>
        <v>0</v>
      </c>
      <c r="N83" s="9" t="n">
        <f aca="false">IF($L83="","",MAX(0,ROUND((TIMEVALUE($J83)-TIMEVALUE($L83))*1440,0)))</f>
        <v>0</v>
      </c>
      <c r="O83" s="9" t="n">
        <f aca="false">IF(OR($K83="",$L83=""),0,ROUND(VLOOKUP($H83,DM_CA_LAM!$A$4:$F$6,6,FALSE())-$M83/60-$N83/60,2))</f>
        <v>8</v>
      </c>
      <c r="P83" s="9" t="s">
        <v>108</v>
      </c>
      <c r="Q83" s="9" t="n">
        <v>0</v>
      </c>
      <c r="R83" s="10"/>
      <c r="S83" s="10"/>
      <c r="T83" s="9" t="str">
        <f aca="false">$B83&amp;"_"&amp;TEXT($F83,"yyyymmdd")</f>
        <v>NV006_20260606</v>
      </c>
      <c r="U83" s="9" t="str">
        <f aca="false">VLOOKUP($P83,DM_TRANG_THAI!$A$4:$B$9,2,FALSE())</f>
        <v>P</v>
      </c>
    </row>
    <row r="84" customFormat="false" ht="15.75" hidden="false" customHeight="true" outlineLevel="0" collapsed="false">
      <c r="A84" s="9" t="n">
        <v>81</v>
      </c>
      <c r="B84" s="9" t="s">
        <v>47</v>
      </c>
      <c r="C84" s="10" t="str">
        <f aca="false">VLOOKUP($B84,DM_NHAN_VIEN!$B$4:$F$18,2,FALSE())</f>
        <v>Ngô Văn Tài</v>
      </c>
      <c r="D84" s="9" t="str">
        <f aca="false">VLOOKUP($B84,DM_NHAN_VIEN!$B$4:$F$18,3,FALSE())</f>
        <v>Hành chính</v>
      </c>
      <c r="E84" s="9" t="str">
        <f aca="false">VLOOKUP($B84,DM_NHAN_VIEN!$B$4:$F$18,4,FALSE())</f>
        <v>Phó phòng</v>
      </c>
      <c r="F84" s="18" t="n">
        <v>46179</v>
      </c>
      <c r="G84" s="9" t="str">
        <f aca="false">CHOOSE(WEEKDAY(F84,2),"Thứ Hai","Thứ Ba","Thứ Tư","Thứ Năm","Thứ Sáu","Thứ Bảy","Chủ Nhật")</f>
        <v>Thứ Bảy</v>
      </c>
      <c r="H84" s="9" t="str">
        <f aca="false">VLOOKUP($B84,DM_NHAN_VIEN!$B$4:$F$18,5,FALSE())</f>
        <v>Ca Hành Chính</v>
      </c>
      <c r="I84" s="9" t="str">
        <f aca="false">VLOOKUP($H84,DM_CA_LAM!$A$4:$C$6,2,FALSE())</f>
        <v>07:30</v>
      </c>
      <c r="J84" s="9" t="str">
        <f aca="false">VLOOKUP($H84,DM_CA_LAM!$A$4:$C$6,3,FALSE())</f>
        <v>17:30</v>
      </c>
      <c r="K84" s="9" t="s">
        <v>167</v>
      </c>
      <c r="L84" s="9" t="s">
        <v>93</v>
      </c>
      <c r="M84" s="9" t="n">
        <f aca="false">IF($K84="","",MAX(0,ROUND((TIMEVALUE($K84)-TIMEVALUE($I84))*1440,0)))</f>
        <v>0</v>
      </c>
      <c r="N84" s="9" t="n">
        <f aca="false">IF($L84="","",MAX(0,ROUND((TIMEVALUE($J84)-TIMEVALUE($L84))*1440,0)))</f>
        <v>0</v>
      </c>
      <c r="O84" s="9" t="n">
        <f aca="false">IF(OR($K84="",$L84=""),0,ROUND(VLOOKUP($H84,DM_CA_LAM!$A$4:$F$6,6,FALSE())-$M84/60-$N84/60,2))</f>
        <v>8</v>
      </c>
      <c r="P84" s="9" t="s">
        <v>108</v>
      </c>
      <c r="Q84" s="9" t="n">
        <v>0</v>
      </c>
      <c r="R84" s="10"/>
      <c r="S84" s="10"/>
      <c r="T84" s="9" t="str">
        <f aca="false">$B84&amp;"_"&amp;TEXT($F84,"yyyymmdd")</f>
        <v>NV007_20260606</v>
      </c>
      <c r="U84" s="9" t="str">
        <f aca="false">VLOOKUP($P84,DM_TRANG_THAI!$A$4:$B$9,2,FALSE())</f>
        <v>P</v>
      </c>
    </row>
    <row r="85" customFormat="false" ht="15.75" hidden="false" customHeight="true" outlineLevel="0" collapsed="false">
      <c r="A85" s="9" t="n">
        <v>82</v>
      </c>
      <c r="B85" s="9" t="s">
        <v>51</v>
      </c>
      <c r="C85" s="10" t="str">
        <f aca="false">VLOOKUP($B85,DM_NHAN_VIEN!$B$4:$F$18,2,FALSE())</f>
        <v>Vũ Thị Nga</v>
      </c>
      <c r="D85" s="9" t="str">
        <f aca="false">VLOOKUP($B85,DM_NHAN_VIEN!$B$4:$F$18,3,FALSE())</f>
        <v>Hành chính</v>
      </c>
      <c r="E85" s="9" t="str">
        <f aca="false">VLOOKUP($B85,DM_NHAN_VIEN!$B$4:$F$18,4,FALSE())</f>
        <v>Chuyên viên</v>
      </c>
      <c r="F85" s="18" t="n">
        <v>46179</v>
      </c>
      <c r="G85" s="9" t="str">
        <f aca="false">CHOOSE(WEEKDAY(F85,2),"Thứ Hai","Thứ Ba","Thứ Tư","Thứ Năm","Thứ Sáu","Thứ Bảy","Chủ Nhật")</f>
        <v>Thứ Bảy</v>
      </c>
      <c r="H85" s="9" t="str">
        <f aca="false">VLOOKUP($B85,DM_NHAN_VIEN!$B$4:$F$18,5,FALSE())</f>
        <v>Ca Hành Chính</v>
      </c>
      <c r="I85" s="9" t="str">
        <f aca="false">VLOOKUP($H85,DM_CA_LAM!$A$4:$C$6,2,FALSE())</f>
        <v>07:30</v>
      </c>
      <c r="J85" s="9" t="str">
        <f aca="false">VLOOKUP($H85,DM_CA_LAM!$A$4:$C$6,3,FALSE())</f>
        <v>17:30</v>
      </c>
      <c r="K85" s="9" t="s">
        <v>158</v>
      </c>
      <c r="L85" s="9" t="s">
        <v>174</v>
      </c>
      <c r="M85" s="9" t="n">
        <f aca="false">IF($K85="","",MAX(0,ROUND((TIMEVALUE($K85)-TIMEVALUE($I85))*1440,0)))</f>
        <v>0</v>
      </c>
      <c r="N85" s="9" t="n">
        <f aca="false">IF($L85="","",MAX(0,ROUND((TIMEVALUE($J85)-TIMEVALUE($L85))*1440,0)))</f>
        <v>0</v>
      </c>
      <c r="O85" s="9" t="n">
        <f aca="false">IF(OR($K85="",$L85=""),0,ROUND(VLOOKUP($H85,DM_CA_LAM!$A$4:$F$6,6,FALSE())-$M85/60-$N85/60,2))</f>
        <v>8</v>
      </c>
      <c r="P85" s="9" t="s">
        <v>108</v>
      </c>
      <c r="Q85" s="9" t="n">
        <v>0</v>
      </c>
      <c r="R85" s="10"/>
      <c r="S85" s="10"/>
      <c r="T85" s="9" t="str">
        <f aca="false">$B85&amp;"_"&amp;TEXT($F85,"yyyymmdd")</f>
        <v>NV008_20260606</v>
      </c>
      <c r="U85" s="9" t="str">
        <f aca="false">VLOOKUP($P85,DM_TRANG_THAI!$A$4:$B$9,2,FALSE())</f>
        <v>P</v>
      </c>
    </row>
    <row r="86" customFormat="false" ht="15.75" hidden="false" customHeight="true" outlineLevel="0" collapsed="false">
      <c r="A86" s="9" t="n">
        <v>83</v>
      </c>
      <c r="B86" s="9" t="s">
        <v>55</v>
      </c>
      <c r="C86" s="10" t="str">
        <f aca="false">VLOOKUP($B86,DM_NHAN_VIEN!$B$4:$F$18,2,FALSE())</f>
        <v>Đặng Thị Hồng</v>
      </c>
      <c r="D86" s="9" t="str">
        <f aca="false">VLOOKUP($B86,DM_NHAN_VIEN!$B$4:$F$18,3,FALSE())</f>
        <v>Nhân sự</v>
      </c>
      <c r="E86" s="9" t="str">
        <f aca="false">VLOOKUP($B86,DM_NHAN_VIEN!$B$4:$F$18,4,FALSE())</f>
        <v>Chuyên viên</v>
      </c>
      <c r="F86" s="18" t="n">
        <v>46179</v>
      </c>
      <c r="G86" s="9" t="str">
        <f aca="false">CHOOSE(WEEKDAY(F86,2),"Thứ Hai","Thứ Ba","Thứ Tư","Thứ Năm","Thứ Sáu","Thứ Bảy","Chủ Nhật")</f>
        <v>Thứ Bảy</v>
      </c>
      <c r="H86" s="9" t="str">
        <f aca="false">VLOOKUP($B86,DM_NHAN_VIEN!$B$4:$F$18,5,FALSE())</f>
        <v>Ca Hành Chính</v>
      </c>
      <c r="I86" s="9" t="str">
        <f aca="false">VLOOKUP($H86,DM_CA_LAM!$A$4:$C$6,2,FALSE())</f>
        <v>07:30</v>
      </c>
      <c r="J86" s="9" t="str">
        <f aca="false">VLOOKUP($H86,DM_CA_LAM!$A$4:$C$6,3,FALSE())</f>
        <v>17:30</v>
      </c>
      <c r="K86" s="9" t="s">
        <v>156</v>
      </c>
      <c r="L86" s="9" t="s">
        <v>149</v>
      </c>
      <c r="M86" s="9" t="n">
        <f aca="false">IF($K86="","",MAX(0,ROUND((TIMEVALUE($K86)-TIMEVALUE($I86))*1440,0)))</f>
        <v>0</v>
      </c>
      <c r="N86" s="9" t="n">
        <f aca="false">IF($L86="","",MAX(0,ROUND((TIMEVALUE($J86)-TIMEVALUE($L86))*1440,0)))</f>
        <v>0</v>
      </c>
      <c r="O86" s="9" t="n">
        <f aca="false">IF(OR($K86="",$L86=""),0,ROUND(VLOOKUP($H86,DM_CA_LAM!$A$4:$F$6,6,FALSE())-$M86/60-$N86/60,2))</f>
        <v>8</v>
      </c>
      <c r="P86" s="9" t="s">
        <v>108</v>
      </c>
      <c r="Q86" s="9" t="n">
        <v>0</v>
      </c>
      <c r="R86" s="10"/>
      <c r="S86" s="10"/>
      <c r="T86" s="9" t="str">
        <f aca="false">$B86&amp;"_"&amp;TEXT($F86,"yyyymmdd")</f>
        <v>NV010_20260606</v>
      </c>
      <c r="U86" s="9" t="str">
        <f aca="false">VLOOKUP($P86,DM_TRANG_THAI!$A$4:$B$9,2,FALSE())</f>
        <v>P</v>
      </c>
    </row>
    <row r="87" customFormat="false" ht="15.75" hidden="false" customHeight="true" outlineLevel="0" collapsed="false">
      <c r="A87" s="9" t="n">
        <v>84</v>
      </c>
      <c r="B87" s="9" t="s">
        <v>58</v>
      </c>
      <c r="C87" s="10" t="str">
        <f aca="false">VLOOKUP($B87,DM_NHAN_VIEN!$B$4:$F$18,2,FALSE())</f>
        <v>Chu Văn Minh</v>
      </c>
      <c r="D87" s="9" t="str">
        <f aca="false">VLOOKUP($B87,DM_NHAN_VIEN!$B$4:$F$18,3,FALSE())</f>
        <v>Nhân sự</v>
      </c>
      <c r="E87" s="9" t="str">
        <f aca="false">VLOOKUP($B87,DM_NHAN_VIEN!$B$4:$F$18,4,FALSE())</f>
        <v>Chuyên viên</v>
      </c>
      <c r="F87" s="18" t="n">
        <v>46179</v>
      </c>
      <c r="G87" s="9" t="str">
        <f aca="false">CHOOSE(WEEKDAY(F87,2),"Thứ Hai","Thứ Ba","Thứ Tư","Thứ Năm","Thứ Sáu","Thứ Bảy","Chủ Nhật")</f>
        <v>Thứ Bảy</v>
      </c>
      <c r="H87" s="9" t="str">
        <f aca="false">VLOOKUP($B87,DM_NHAN_VIEN!$B$4:$F$18,5,FALSE())</f>
        <v>Ca Hành Chính</v>
      </c>
      <c r="I87" s="9" t="str">
        <f aca="false">VLOOKUP($H87,DM_CA_LAM!$A$4:$C$6,2,FALSE())</f>
        <v>07:30</v>
      </c>
      <c r="J87" s="9" t="str">
        <f aca="false">VLOOKUP($H87,DM_CA_LAM!$A$4:$C$6,3,FALSE())</f>
        <v>17:30</v>
      </c>
      <c r="K87" s="9" t="s">
        <v>161</v>
      </c>
      <c r="L87" s="9" t="s">
        <v>93</v>
      </c>
      <c r="M87" s="9" t="n">
        <f aca="false">IF($K87="","",MAX(0,ROUND((TIMEVALUE($K87)-TIMEVALUE($I87))*1440,0)))</f>
        <v>0</v>
      </c>
      <c r="N87" s="9" t="n">
        <f aca="false">IF($L87="","",MAX(0,ROUND((TIMEVALUE($J87)-TIMEVALUE($L87))*1440,0)))</f>
        <v>0</v>
      </c>
      <c r="O87" s="9" t="n">
        <f aca="false">IF(OR($K87="",$L87=""),0,ROUND(VLOOKUP($H87,DM_CA_LAM!$A$4:$F$6,6,FALSE())-$M87/60-$N87/60,2))</f>
        <v>8</v>
      </c>
      <c r="P87" s="9" t="s">
        <v>108</v>
      </c>
      <c r="Q87" s="9" t="n">
        <v>0</v>
      </c>
      <c r="R87" s="10"/>
      <c r="S87" s="10"/>
      <c r="T87" s="9" t="str">
        <f aca="false">$B87&amp;"_"&amp;TEXT($F87,"yyyymmdd")</f>
        <v>NV011_20260606</v>
      </c>
      <c r="U87" s="9" t="str">
        <f aca="false">VLOOKUP($P87,DM_TRANG_THAI!$A$4:$B$9,2,FALSE())</f>
        <v>P</v>
      </c>
    </row>
    <row r="88" customFormat="false" ht="15.75" hidden="false" customHeight="true" outlineLevel="0" collapsed="false">
      <c r="A88" s="9" t="n">
        <v>85</v>
      </c>
      <c r="B88" s="9" t="s">
        <v>61</v>
      </c>
      <c r="C88" s="10" t="str">
        <f aca="false">VLOOKUP($B88,DM_NHAN_VIEN!$B$4:$F$18,2,FALSE())</f>
        <v>Phan Thị Khánh</v>
      </c>
      <c r="D88" s="9" t="str">
        <f aca="false">VLOOKUP($B88,DM_NHAN_VIEN!$B$4:$F$18,3,FALSE())</f>
        <v>Kế toán</v>
      </c>
      <c r="E88" s="9" t="str">
        <f aca="false">VLOOKUP($B88,DM_NHAN_VIEN!$B$4:$F$18,4,FALSE())</f>
        <v>Trưởng phòng</v>
      </c>
      <c r="F88" s="18" t="n">
        <v>46179</v>
      </c>
      <c r="G88" s="9" t="str">
        <f aca="false">CHOOSE(WEEKDAY(F88,2),"Thứ Hai","Thứ Ba","Thứ Tư","Thứ Năm","Thứ Sáu","Thứ Bảy","Chủ Nhật")</f>
        <v>Thứ Bảy</v>
      </c>
      <c r="H88" s="9" t="str">
        <f aca="false">VLOOKUP($B88,DM_NHAN_VIEN!$B$4:$F$18,5,FALSE())</f>
        <v>Ca Hành Chính</v>
      </c>
      <c r="I88" s="9" t="str">
        <f aca="false">VLOOKUP($H88,DM_CA_LAM!$A$4:$C$6,2,FALSE())</f>
        <v>07:30</v>
      </c>
      <c r="J88" s="9" t="str">
        <f aca="false">VLOOKUP($H88,DM_CA_LAM!$A$4:$C$6,3,FALSE())</f>
        <v>17:30</v>
      </c>
      <c r="K88" s="9" t="s">
        <v>142</v>
      </c>
      <c r="L88" s="9" t="s">
        <v>164</v>
      </c>
      <c r="M88" s="9" t="n">
        <f aca="false">IF($K88="","",MAX(0,ROUND((TIMEVALUE($K88)-TIMEVALUE($I88))*1440,0)))</f>
        <v>0</v>
      </c>
      <c r="N88" s="9" t="n">
        <f aca="false">IF($L88="","",MAX(0,ROUND((TIMEVALUE($J88)-TIMEVALUE($L88))*1440,0)))</f>
        <v>0</v>
      </c>
      <c r="O88" s="9" t="n">
        <f aca="false">IF(OR($K88="",$L88=""),0,ROUND(VLOOKUP($H88,DM_CA_LAM!$A$4:$F$6,6,FALSE())-$M88/60-$N88/60,2))</f>
        <v>8</v>
      </c>
      <c r="P88" s="9" t="s">
        <v>108</v>
      </c>
      <c r="Q88" s="9" t="n">
        <v>0</v>
      </c>
      <c r="R88" s="10"/>
      <c r="S88" s="10"/>
      <c r="T88" s="9" t="str">
        <f aca="false">$B88&amp;"_"&amp;TEXT($F88,"yyyymmdd")</f>
        <v>NV014_20260606</v>
      </c>
      <c r="U88" s="9" t="str">
        <f aca="false">VLOOKUP($P88,DM_TRANG_THAI!$A$4:$B$9,2,FALSE())</f>
        <v>P</v>
      </c>
    </row>
    <row r="89" customFormat="false" ht="15.75" hidden="false" customHeight="true" outlineLevel="0" collapsed="false">
      <c r="A89" s="9" t="n">
        <v>86</v>
      </c>
      <c r="B89" s="9" t="s">
        <v>65</v>
      </c>
      <c r="C89" s="10" t="str">
        <f aca="false">VLOOKUP($B89,DM_NHAN_VIEN!$B$4:$F$18,2,FALSE())</f>
        <v>Trịnh Văn Hùng</v>
      </c>
      <c r="D89" s="9" t="str">
        <f aca="false">VLOOKUP($B89,DM_NHAN_VIEN!$B$4:$F$18,3,FALSE())</f>
        <v>Kế toán</v>
      </c>
      <c r="E89" s="9" t="str">
        <f aca="false">VLOOKUP($B89,DM_NHAN_VIEN!$B$4:$F$18,4,FALSE())</f>
        <v>Phó phòng</v>
      </c>
      <c r="F89" s="18" t="n">
        <v>46179</v>
      </c>
      <c r="G89" s="9" t="str">
        <f aca="false">CHOOSE(WEEKDAY(F89,2),"Thứ Hai","Thứ Ba","Thứ Tư","Thứ Năm","Thứ Sáu","Thứ Bảy","Chủ Nhật")</f>
        <v>Thứ Bảy</v>
      </c>
      <c r="H89" s="9" t="str">
        <f aca="false">VLOOKUP($B89,DM_NHAN_VIEN!$B$4:$F$18,5,FALSE())</f>
        <v>Ca Hành Chính</v>
      </c>
      <c r="I89" s="9" t="str">
        <f aca="false">VLOOKUP($H89,DM_CA_LAM!$A$4:$C$6,2,FALSE())</f>
        <v>07:30</v>
      </c>
      <c r="J89" s="9" t="str">
        <f aca="false">VLOOKUP($H89,DM_CA_LAM!$A$4:$C$6,3,FALSE())</f>
        <v>17:30</v>
      </c>
      <c r="K89" s="9" t="s">
        <v>160</v>
      </c>
      <c r="L89" s="9" t="s">
        <v>170</v>
      </c>
      <c r="M89" s="9" t="n">
        <f aca="false">IF($K89="","",MAX(0,ROUND((TIMEVALUE($K89)-TIMEVALUE($I89))*1440,0)))</f>
        <v>0</v>
      </c>
      <c r="N89" s="9" t="n">
        <f aca="false">IF($L89="","",MAX(0,ROUND((TIMEVALUE($J89)-TIMEVALUE($L89))*1440,0)))</f>
        <v>0</v>
      </c>
      <c r="O89" s="9" t="n">
        <f aca="false">IF(OR($K89="",$L89=""),0,ROUND(VLOOKUP($H89,DM_CA_LAM!$A$4:$F$6,6,FALSE())-$M89/60-$N89/60,2))</f>
        <v>8</v>
      </c>
      <c r="P89" s="9" t="s">
        <v>108</v>
      </c>
      <c r="Q89" s="9" t="n">
        <v>0</v>
      </c>
      <c r="R89" s="10"/>
      <c r="S89" s="10"/>
      <c r="T89" s="9" t="str">
        <f aca="false">$B89&amp;"_"&amp;TEXT($F89,"yyyymmdd")</f>
        <v>NV015_20260606</v>
      </c>
      <c r="U89" s="9" t="str">
        <f aca="false">VLOOKUP($P89,DM_TRANG_THAI!$A$4:$B$9,2,FALSE())</f>
        <v>P</v>
      </c>
    </row>
    <row r="90" customFormat="false" ht="15.75" hidden="false" customHeight="true" outlineLevel="0" collapsed="false">
      <c r="A90" s="9" t="n">
        <v>87</v>
      </c>
      <c r="B90" s="9" t="s">
        <v>68</v>
      </c>
      <c r="C90" s="10" t="str">
        <f aca="false">VLOOKUP($B90,DM_NHAN_VIEN!$B$4:$F$18,2,FALSE())</f>
        <v>Hoàng Văn Lộc</v>
      </c>
      <c r="D90" s="9" t="str">
        <f aca="false">VLOOKUP($B90,DM_NHAN_VIEN!$B$4:$F$18,3,FALSE())</f>
        <v>Kinh doanh</v>
      </c>
      <c r="E90" s="9" t="str">
        <f aca="false">VLOOKUP($B90,DM_NHAN_VIEN!$B$4:$F$18,4,FALSE())</f>
        <v>Trưởng phòng</v>
      </c>
      <c r="F90" s="18" t="n">
        <v>46179</v>
      </c>
      <c r="G90" s="9" t="str">
        <f aca="false">CHOOSE(WEEKDAY(F90,2),"Thứ Hai","Thứ Ba","Thứ Tư","Thứ Năm","Thứ Sáu","Thứ Bảy","Chủ Nhật")</f>
        <v>Thứ Bảy</v>
      </c>
      <c r="H90" s="9" t="str">
        <f aca="false">VLOOKUP($B90,DM_NHAN_VIEN!$B$4:$F$18,5,FALSE())</f>
        <v>Ca Hành Chính</v>
      </c>
      <c r="I90" s="9" t="str">
        <f aca="false">VLOOKUP($H90,DM_CA_LAM!$A$4:$C$6,2,FALSE())</f>
        <v>07:30</v>
      </c>
      <c r="J90" s="9" t="str">
        <f aca="false">VLOOKUP($H90,DM_CA_LAM!$A$4:$C$6,3,FALSE())</f>
        <v>17:30</v>
      </c>
      <c r="K90" s="9" t="s">
        <v>167</v>
      </c>
      <c r="L90" s="9" t="s">
        <v>93</v>
      </c>
      <c r="M90" s="9" t="n">
        <f aca="false">IF($K90="","",MAX(0,ROUND((TIMEVALUE($K90)-TIMEVALUE($I90))*1440,0)))</f>
        <v>0</v>
      </c>
      <c r="N90" s="9" t="n">
        <f aca="false">IF($L90="","",MAX(0,ROUND((TIMEVALUE($J90)-TIMEVALUE($L90))*1440,0)))</f>
        <v>0</v>
      </c>
      <c r="O90" s="9" t="n">
        <f aca="false">IF(OR($K90="",$L90=""),0,ROUND(VLOOKUP($H90,DM_CA_LAM!$A$4:$F$6,6,FALSE())-$M90/60-$N90/60,2))</f>
        <v>8</v>
      </c>
      <c r="P90" s="9" t="s">
        <v>108</v>
      </c>
      <c r="Q90" s="9" t="n">
        <v>2.5</v>
      </c>
      <c r="R90" s="10" t="s">
        <v>179</v>
      </c>
      <c r="S90" s="10"/>
      <c r="T90" s="9" t="str">
        <f aca="false">$B90&amp;"_"&amp;TEXT($F90,"yyyymmdd")</f>
        <v>NV019_20260606</v>
      </c>
      <c r="U90" s="9" t="str">
        <f aca="false">VLOOKUP($P90,DM_TRANG_THAI!$A$4:$B$9,2,FALSE())</f>
        <v>P</v>
      </c>
    </row>
    <row r="91" customFormat="false" ht="15.75" hidden="false" customHeight="true" outlineLevel="0" collapsed="false">
      <c r="A91" s="9" t="n">
        <v>88</v>
      </c>
      <c r="B91" s="9" t="s">
        <v>72</v>
      </c>
      <c r="C91" s="10" t="str">
        <f aca="false">VLOOKUP($B91,DM_NHAN_VIEN!$B$4:$F$18,2,FALSE())</f>
        <v>Nguyễn Văn Phú</v>
      </c>
      <c r="D91" s="9" t="str">
        <f aca="false">VLOOKUP($B91,DM_NHAN_VIEN!$B$4:$F$18,3,FALSE())</f>
        <v>Kinh doanh</v>
      </c>
      <c r="E91" s="9" t="str">
        <f aca="false">VLOOKUP($B91,DM_NHAN_VIEN!$B$4:$F$18,4,FALSE())</f>
        <v>Nhân viên</v>
      </c>
      <c r="F91" s="18" t="n">
        <v>46179</v>
      </c>
      <c r="G91" s="9" t="str">
        <f aca="false">CHOOSE(WEEKDAY(F91,2),"Thứ Hai","Thứ Ba","Thứ Tư","Thứ Năm","Thứ Sáu","Thứ Bảy","Chủ Nhật")</f>
        <v>Thứ Bảy</v>
      </c>
      <c r="H91" s="9" t="str">
        <f aca="false">VLOOKUP($B91,DM_NHAN_VIEN!$B$4:$F$18,5,FALSE())</f>
        <v>Ca Hành Chính</v>
      </c>
      <c r="I91" s="9" t="str">
        <f aca="false">VLOOKUP($H91,DM_CA_LAM!$A$4:$C$6,2,FALSE())</f>
        <v>07:30</v>
      </c>
      <c r="J91" s="9" t="str">
        <f aca="false">VLOOKUP($H91,DM_CA_LAM!$A$4:$C$6,3,FALSE())</f>
        <v>17:30</v>
      </c>
      <c r="K91" s="9" t="s">
        <v>145</v>
      </c>
      <c r="L91" s="9" t="s">
        <v>144</v>
      </c>
      <c r="M91" s="9" t="n">
        <f aca="false">IF($K91="","",MAX(0,ROUND((TIMEVALUE($K91)-TIMEVALUE($I91))*1440,0)))</f>
        <v>0</v>
      </c>
      <c r="N91" s="9" t="n">
        <f aca="false">IF($L91="","",MAX(0,ROUND((TIMEVALUE($J91)-TIMEVALUE($L91))*1440,0)))</f>
        <v>0</v>
      </c>
      <c r="O91" s="9" t="n">
        <f aca="false">IF(OR($K91="",$L91=""),0,ROUND(VLOOKUP($H91,DM_CA_LAM!$A$4:$F$6,6,FALSE())-$M91/60-$N91/60,2))</f>
        <v>8</v>
      </c>
      <c r="P91" s="9" t="s">
        <v>108</v>
      </c>
      <c r="Q91" s="9" t="n">
        <v>0</v>
      </c>
      <c r="R91" s="10"/>
      <c r="S91" s="10"/>
      <c r="T91" s="9" t="str">
        <f aca="false">$B91&amp;"_"&amp;TEXT($F91,"yyyymmdd")</f>
        <v>NV021_20260606</v>
      </c>
      <c r="U91" s="9" t="str">
        <f aca="false">VLOOKUP($P91,DM_TRANG_THAI!$A$4:$B$9,2,FALSE())</f>
        <v>P</v>
      </c>
    </row>
    <row r="92" customFormat="false" ht="15.75" hidden="false" customHeight="true" outlineLevel="0" collapsed="false">
      <c r="A92" s="9" t="n">
        <v>89</v>
      </c>
      <c r="B92" s="9" t="s">
        <v>76</v>
      </c>
      <c r="C92" s="10" t="str">
        <f aca="false">VLOOKUP($B92,DM_NHAN_VIEN!$B$4:$F$18,2,FALSE())</f>
        <v>Lý Văn Dũng</v>
      </c>
      <c r="D92" s="9" t="str">
        <f aca="false">VLOOKUP($B92,DM_NHAN_VIEN!$B$4:$F$18,3,FALSE())</f>
        <v>Xưởng sản xuất</v>
      </c>
      <c r="E92" s="9" t="str">
        <f aca="false">VLOOKUP($B92,DM_NHAN_VIEN!$B$4:$F$18,4,FALSE())</f>
        <v>Tổ trưởng</v>
      </c>
      <c r="F92" s="18" t="n">
        <v>46179</v>
      </c>
      <c r="G92" s="9" t="str">
        <f aca="false">CHOOSE(WEEKDAY(F92,2),"Thứ Hai","Thứ Ba","Thứ Tư","Thứ Năm","Thứ Sáu","Thứ Bảy","Chủ Nhật")</f>
        <v>Thứ Bảy</v>
      </c>
      <c r="H92" s="9" t="str">
        <f aca="false">VLOOKUP($B92,DM_NHAN_VIEN!$B$4:$F$18,5,FALSE())</f>
        <v>Ca Hành Chính</v>
      </c>
      <c r="I92" s="9" t="str">
        <f aca="false">VLOOKUP($H92,DM_CA_LAM!$A$4:$C$6,2,FALSE())</f>
        <v>07:30</v>
      </c>
      <c r="J92" s="9" t="str">
        <f aca="false">VLOOKUP($H92,DM_CA_LAM!$A$4:$C$6,3,FALSE())</f>
        <v>17:30</v>
      </c>
      <c r="K92" s="9" t="s">
        <v>167</v>
      </c>
      <c r="L92" s="9" t="s">
        <v>174</v>
      </c>
      <c r="M92" s="9" t="n">
        <f aca="false">IF($K92="","",MAX(0,ROUND((TIMEVALUE($K92)-TIMEVALUE($I92))*1440,0)))</f>
        <v>0</v>
      </c>
      <c r="N92" s="9" t="n">
        <f aca="false">IF($L92="","",MAX(0,ROUND((TIMEVALUE($J92)-TIMEVALUE($L92))*1440,0)))</f>
        <v>0</v>
      </c>
      <c r="O92" s="9" t="n">
        <f aca="false">IF(OR($K92="",$L92=""),0,ROUND(VLOOKUP($H92,DM_CA_LAM!$A$4:$F$6,6,FALSE())-$M92/60-$N92/60,2))</f>
        <v>8</v>
      </c>
      <c r="P92" s="9" t="s">
        <v>108</v>
      </c>
      <c r="Q92" s="9" t="n">
        <v>0</v>
      </c>
      <c r="R92" s="10"/>
      <c r="S92" s="10"/>
      <c r="T92" s="9" t="str">
        <f aca="false">$B92&amp;"_"&amp;TEXT($F92,"yyyymmdd")</f>
        <v>NV029_20260606</v>
      </c>
      <c r="U92" s="9" t="str">
        <f aca="false">VLOOKUP($P92,DM_TRANG_THAI!$A$4:$B$9,2,FALSE())</f>
        <v>P</v>
      </c>
    </row>
    <row r="93" customFormat="false" ht="15.75" hidden="false" customHeight="true" outlineLevel="0" collapsed="false">
      <c r="A93" s="9" t="n">
        <v>90</v>
      </c>
      <c r="B93" s="9" t="s">
        <v>80</v>
      </c>
      <c r="C93" s="10" t="str">
        <f aca="false">VLOOKUP($B93,DM_NHAN_VIEN!$B$4:$F$18,2,FALSE())</f>
        <v>Tống Văn Thắng</v>
      </c>
      <c r="D93" s="9" t="str">
        <f aca="false">VLOOKUP($B93,DM_NHAN_VIEN!$B$4:$F$18,3,FALSE())</f>
        <v>Xưởng sản xuất</v>
      </c>
      <c r="E93" s="9" t="str">
        <f aca="false">VLOOKUP($B93,DM_NHAN_VIEN!$B$4:$F$18,4,FALSE())</f>
        <v>Tổ trưởng</v>
      </c>
      <c r="F93" s="18" t="n">
        <v>46179</v>
      </c>
      <c r="G93" s="9" t="str">
        <f aca="false">CHOOSE(WEEKDAY(F93,2),"Thứ Hai","Thứ Ba","Thứ Tư","Thứ Năm","Thứ Sáu","Thứ Bảy","Chủ Nhật")</f>
        <v>Thứ Bảy</v>
      </c>
      <c r="H93" s="9" t="str">
        <f aca="false">VLOOKUP($B93,DM_NHAN_VIEN!$B$4:$F$18,5,FALSE())</f>
        <v>Ca Hành Chính</v>
      </c>
      <c r="I93" s="9" t="str">
        <f aca="false">VLOOKUP($H93,DM_CA_LAM!$A$4:$C$6,2,FALSE())</f>
        <v>07:30</v>
      </c>
      <c r="J93" s="9" t="str">
        <f aca="false">VLOOKUP($H93,DM_CA_LAM!$A$4:$C$6,3,FALSE())</f>
        <v>17:30</v>
      </c>
      <c r="K93" s="9" t="s">
        <v>145</v>
      </c>
      <c r="L93" s="9" t="s">
        <v>162</v>
      </c>
      <c r="M93" s="9" t="n">
        <f aca="false">IF($K93="","",MAX(0,ROUND((TIMEVALUE($K93)-TIMEVALUE($I93))*1440,0)))</f>
        <v>0</v>
      </c>
      <c r="N93" s="9" t="n">
        <f aca="false">IF($L93="","",MAX(0,ROUND((TIMEVALUE($J93)-TIMEVALUE($L93))*1440,0)))</f>
        <v>0</v>
      </c>
      <c r="O93" s="9" t="n">
        <f aca="false">IF(OR($K93="",$L93=""),0,ROUND(VLOOKUP($H93,DM_CA_LAM!$A$4:$F$6,6,FALSE())-$M93/60-$N93/60,2))</f>
        <v>8</v>
      </c>
      <c r="P93" s="9" t="s">
        <v>108</v>
      </c>
      <c r="Q93" s="9" t="n">
        <v>0</v>
      </c>
      <c r="R93" s="10"/>
      <c r="S93" s="10"/>
      <c r="T93" s="9" t="str">
        <f aca="false">$B93&amp;"_"&amp;TEXT($F93,"yyyymmdd")</f>
        <v>NV030_20260606</v>
      </c>
      <c r="U93" s="9" t="str">
        <f aca="false">VLOOKUP($P93,DM_TRANG_THAI!$A$4:$B$9,2,FALSE())</f>
        <v>P</v>
      </c>
    </row>
    <row r="94" customFormat="false" ht="15.75" hidden="false" customHeight="true" outlineLevel="0" collapsed="false">
      <c r="A94" s="9" t="n">
        <v>91</v>
      </c>
      <c r="B94" s="9" t="s">
        <v>24</v>
      </c>
      <c r="C94" s="10" t="str">
        <f aca="false">VLOOKUP($B94,DM_NHAN_VIEN!$B$4:$F$18,2,FALSE())</f>
        <v>Nguyễn Văn Giám Đốc</v>
      </c>
      <c r="D94" s="9" t="str">
        <f aca="false">VLOOKUP($B94,DM_NHAN_VIEN!$B$4:$F$18,3,FALSE())</f>
        <v>Hành chính</v>
      </c>
      <c r="E94" s="9" t="str">
        <f aca="false">VLOOKUP($B94,DM_NHAN_VIEN!$B$4:$F$18,4,FALSE())</f>
        <v>Giám đốc</v>
      </c>
      <c r="F94" s="18" t="n">
        <v>46181</v>
      </c>
      <c r="G94" s="9" t="str">
        <f aca="false">CHOOSE(WEEKDAY(F94,2),"Thứ Hai","Thứ Ba","Thứ Tư","Thứ Năm","Thứ Sáu","Thứ Bảy","Chủ Nhật")</f>
        <v>Thứ Hai</v>
      </c>
      <c r="H94" s="9" t="str">
        <f aca="false">VLOOKUP($B94,DM_NHAN_VIEN!$B$4:$F$18,5,FALSE())</f>
        <v>Ca Hành Chính</v>
      </c>
      <c r="I94" s="9" t="str">
        <f aca="false">VLOOKUP($H94,DM_CA_LAM!$A$4:$C$6,2,FALSE())</f>
        <v>07:30</v>
      </c>
      <c r="J94" s="9" t="str">
        <f aca="false">VLOOKUP($H94,DM_CA_LAM!$A$4:$C$6,3,FALSE())</f>
        <v>17:30</v>
      </c>
      <c r="K94" s="9" t="s">
        <v>150</v>
      </c>
      <c r="L94" s="9" t="s">
        <v>149</v>
      </c>
      <c r="M94" s="9" t="n">
        <f aca="false">IF($K94="","",MAX(0,ROUND((TIMEVALUE($K94)-TIMEVALUE($I94))*1440,0)))</f>
        <v>0</v>
      </c>
      <c r="N94" s="9" t="n">
        <f aca="false">IF($L94="","",MAX(0,ROUND((TIMEVALUE($J94)-TIMEVALUE($L94))*1440,0)))</f>
        <v>0</v>
      </c>
      <c r="O94" s="9" t="n">
        <f aca="false">IF(OR($K94="",$L94=""),0,ROUND(VLOOKUP($H94,DM_CA_LAM!$A$4:$F$6,6,FALSE())-$M94/60-$N94/60,2))</f>
        <v>8</v>
      </c>
      <c r="P94" s="9" t="s">
        <v>108</v>
      </c>
      <c r="Q94" s="9" t="n">
        <v>0</v>
      </c>
      <c r="R94" s="10"/>
      <c r="S94" s="10"/>
      <c r="T94" s="9" t="str">
        <f aca="false">$B94&amp;"_"&amp;TEXT($F94,"yyyymmdd")</f>
        <v>NV002_20260608</v>
      </c>
      <c r="U94" s="9" t="str">
        <f aca="false">VLOOKUP($P94,DM_TRANG_THAI!$A$4:$B$9,2,FALSE())</f>
        <v>P</v>
      </c>
    </row>
    <row r="95" customFormat="false" ht="15.75" hidden="false" customHeight="true" outlineLevel="0" collapsed="false">
      <c r="A95" s="9" t="n">
        <v>92</v>
      </c>
      <c r="B95" s="9" t="s">
        <v>30</v>
      </c>
      <c r="C95" s="10" t="str">
        <f aca="false">VLOOKUP($B95,DM_NHAN_VIEN!$B$4:$F$18,2,FALSE())</f>
        <v>Trần Thị Nhân Sự</v>
      </c>
      <c r="D95" s="9" t="str">
        <f aca="false">VLOOKUP($B95,DM_NHAN_VIEN!$B$4:$F$18,3,FALSE())</f>
        <v>Nhân sự</v>
      </c>
      <c r="E95" s="9" t="str">
        <f aca="false">VLOOKUP($B95,DM_NHAN_VIEN!$B$4:$F$18,4,FALSE())</f>
        <v>Trưởng phòng</v>
      </c>
      <c r="F95" s="18" t="n">
        <v>46181</v>
      </c>
      <c r="G95" s="9" t="str">
        <f aca="false">CHOOSE(WEEKDAY(F95,2),"Thứ Hai","Thứ Ba","Thứ Tư","Thứ Năm","Thứ Sáu","Thứ Bảy","Chủ Nhật")</f>
        <v>Thứ Hai</v>
      </c>
      <c r="H95" s="9" t="str">
        <f aca="false">VLOOKUP($B95,DM_NHAN_VIEN!$B$4:$F$18,5,FALSE())</f>
        <v>Ca Hành Chính</v>
      </c>
      <c r="I95" s="9" t="str">
        <f aca="false">VLOOKUP($H95,DM_CA_LAM!$A$4:$C$6,2,FALSE())</f>
        <v>07:30</v>
      </c>
      <c r="J95" s="9" t="str">
        <f aca="false">VLOOKUP($H95,DM_CA_LAM!$A$4:$C$6,3,FALSE())</f>
        <v>17:30</v>
      </c>
      <c r="K95" s="9" t="s">
        <v>161</v>
      </c>
      <c r="L95" s="9" t="s">
        <v>174</v>
      </c>
      <c r="M95" s="9" t="n">
        <f aca="false">IF($K95="","",MAX(0,ROUND((TIMEVALUE($K95)-TIMEVALUE($I95))*1440,0)))</f>
        <v>0</v>
      </c>
      <c r="N95" s="9" t="n">
        <f aca="false">IF($L95="","",MAX(0,ROUND((TIMEVALUE($J95)-TIMEVALUE($L95))*1440,0)))</f>
        <v>0</v>
      </c>
      <c r="O95" s="9" t="n">
        <f aca="false">IF(OR($K95="",$L95=""),0,ROUND(VLOOKUP($H95,DM_CA_LAM!$A$4:$F$6,6,FALSE())-$M95/60-$N95/60,2))</f>
        <v>8</v>
      </c>
      <c r="P95" s="9" t="s">
        <v>108</v>
      </c>
      <c r="Q95" s="9" t="n">
        <v>0</v>
      </c>
      <c r="R95" s="10"/>
      <c r="S95" s="10"/>
      <c r="T95" s="9" t="str">
        <f aca="false">$B95&amp;"_"&amp;TEXT($F95,"yyyymmdd")</f>
        <v>NV003_20260608</v>
      </c>
      <c r="U95" s="9" t="str">
        <f aca="false">VLOOKUP($P95,DM_TRANG_THAI!$A$4:$B$9,2,FALSE())</f>
        <v>P</v>
      </c>
    </row>
    <row r="96" customFormat="false" ht="15.75" hidden="false" customHeight="true" outlineLevel="0" collapsed="false">
      <c r="A96" s="9" t="n">
        <v>93</v>
      </c>
      <c r="B96" s="9" t="s">
        <v>35</v>
      </c>
      <c r="C96" s="10" t="str">
        <f aca="false">VLOOKUP($B96,DM_NHAN_VIEN!$B$4:$F$18,2,FALSE())</f>
        <v>Lê Văn Quản Đốc</v>
      </c>
      <c r="D96" s="9" t="str">
        <f aca="false">VLOOKUP($B96,DM_NHAN_VIEN!$B$4:$F$18,3,FALSE())</f>
        <v>Xưởng sản xuất</v>
      </c>
      <c r="E96" s="9" t="str">
        <f aca="false">VLOOKUP($B96,DM_NHAN_VIEN!$B$4:$F$18,4,FALSE())</f>
        <v>Quản đốc</v>
      </c>
      <c r="F96" s="18" t="n">
        <v>46181</v>
      </c>
      <c r="G96" s="9" t="str">
        <f aca="false">CHOOSE(WEEKDAY(F96,2),"Thứ Hai","Thứ Ba","Thứ Tư","Thứ Năm","Thứ Sáu","Thứ Bảy","Chủ Nhật")</f>
        <v>Thứ Hai</v>
      </c>
      <c r="H96" s="9" t="str">
        <f aca="false">VLOOKUP($B96,DM_NHAN_VIEN!$B$4:$F$18,5,FALSE())</f>
        <v>Ca Hành Chính</v>
      </c>
      <c r="I96" s="9" t="str">
        <f aca="false">VLOOKUP($H96,DM_CA_LAM!$A$4:$C$6,2,FALSE())</f>
        <v>07:30</v>
      </c>
      <c r="J96" s="9" t="str">
        <f aca="false">VLOOKUP($H96,DM_CA_LAM!$A$4:$C$6,3,FALSE())</f>
        <v>17:30</v>
      </c>
      <c r="K96" s="9" t="s">
        <v>167</v>
      </c>
      <c r="L96" s="9" t="s">
        <v>165</v>
      </c>
      <c r="M96" s="9" t="n">
        <f aca="false">IF($K96="","",MAX(0,ROUND((TIMEVALUE($K96)-TIMEVALUE($I96))*1440,0)))</f>
        <v>0</v>
      </c>
      <c r="N96" s="9" t="n">
        <f aca="false">IF($L96="","",MAX(0,ROUND((TIMEVALUE($J96)-TIMEVALUE($L96))*1440,0)))</f>
        <v>0</v>
      </c>
      <c r="O96" s="9" t="n">
        <f aca="false">IF(OR($K96="",$L96=""),0,ROUND(VLOOKUP($H96,DM_CA_LAM!$A$4:$F$6,6,FALSE())-$M96/60-$N96/60,2))</f>
        <v>8</v>
      </c>
      <c r="P96" s="9" t="s">
        <v>108</v>
      </c>
      <c r="Q96" s="9" t="n">
        <v>0</v>
      </c>
      <c r="R96" s="10"/>
      <c r="S96" s="10"/>
      <c r="T96" s="9" t="str">
        <f aca="false">$B96&amp;"_"&amp;TEXT($F96,"yyyymmdd")</f>
        <v>NV004_20260608</v>
      </c>
      <c r="U96" s="9" t="str">
        <f aca="false">VLOOKUP($P96,DM_TRANG_THAI!$A$4:$B$9,2,FALSE())</f>
        <v>P</v>
      </c>
    </row>
    <row r="97" customFormat="false" ht="15.75" hidden="false" customHeight="true" outlineLevel="0" collapsed="false">
      <c r="A97" s="9" t="n">
        <v>94</v>
      </c>
      <c r="B97" s="9" t="s">
        <v>40</v>
      </c>
      <c r="C97" s="10" t="str">
        <f aca="false">VLOOKUP($B97,DM_NHAN_VIEN!$B$4:$F$18,2,FALSE())</f>
        <v>Phạm Công Nhân</v>
      </c>
      <c r="D97" s="9" t="str">
        <f aca="false">VLOOKUP($B97,DM_NHAN_VIEN!$B$4:$F$18,3,FALSE())</f>
        <v>Xưởng sản xuất</v>
      </c>
      <c r="E97" s="9" t="str">
        <f aca="false">VLOOKUP($B97,DM_NHAN_VIEN!$B$4:$F$18,4,FALSE())</f>
        <v>Công nhân</v>
      </c>
      <c r="F97" s="18" t="n">
        <v>46181</v>
      </c>
      <c r="G97" s="9" t="str">
        <f aca="false">CHOOSE(WEEKDAY(F97,2),"Thứ Hai","Thứ Ba","Thứ Tư","Thứ Năm","Thứ Sáu","Thứ Bảy","Chủ Nhật")</f>
        <v>Thứ Hai</v>
      </c>
      <c r="H97" s="9" t="str">
        <f aca="false">VLOOKUP($B97,DM_NHAN_VIEN!$B$4:$F$18,5,FALSE())</f>
        <v>Ca Hành Chính</v>
      </c>
      <c r="I97" s="9" t="str">
        <f aca="false">VLOOKUP($H97,DM_CA_LAM!$A$4:$C$6,2,FALSE())</f>
        <v>07:30</v>
      </c>
      <c r="J97" s="9" t="str">
        <f aca="false">VLOOKUP($H97,DM_CA_LAM!$A$4:$C$6,3,FALSE())</f>
        <v>17:30</v>
      </c>
      <c r="K97" s="9" t="s">
        <v>180</v>
      </c>
      <c r="L97" s="9" t="s">
        <v>93</v>
      </c>
      <c r="M97" s="9" t="n">
        <f aca="false">IF($K97="","",MAX(0,ROUND((TIMEVALUE($K97)-TIMEVALUE($I97))*1440,0)))</f>
        <v>6</v>
      </c>
      <c r="N97" s="9" t="n">
        <f aca="false">IF($L97="","",MAX(0,ROUND((TIMEVALUE($J97)-TIMEVALUE($L97))*1440,0)))</f>
        <v>0</v>
      </c>
      <c r="O97" s="9" t="n">
        <f aca="false">IF(OR($K97="",$L97=""),0,ROUND(VLOOKUP($H97,DM_CA_LAM!$A$4:$F$6,6,FALSE())-$M97/60-$N97/60,2))</f>
        <v>7.9</v>
      </c>
      <c r="P97" s="9" t="s">
        <v>111</v>
      </c>
      <c r="Q97" s="9" t="n">
        <v>0</v>
      </c>
      <c r="R97" s="10"/>
      <c r="S97" s="10" t="s">
        <v>172</v>
      </c>
      <c r="T97" s="9" t="str">
        <f aca="false">$B97&amp;"_"&amp;TEXT($F97,"yyyymmdd")</f>
        <v>NV005_20260608</v>
      </c>
      <c r="U97" s="9" t="str">
        <f aca="false">VLOOKUP($P97,DM_TRANG_THAI!$A$4:$B$9,2,FALSE())</f>
        <v>L</v>
      </c>
    </row>
    <row r="98" customFormat="false" ht="15.75" hidden="false" customHeight="true" outlineLevel="0" collapsed="false">
      <c r="A98" s="9" t="n">
        <v>95</v>
      </c>
      <c r="B98" s="9" t="s">
        <v>44</v>
      </c>
      <c r="C98" s="10" t="str">
        <f aca="false">VLOOKUP($B98,DM_NHAN_VIEN!$B$4:$F$18,2,FALSE())</f>
        <v>Đỗ Thị Hà</v>
      </c>
      <c r="D98" s="9" t="str">
        <f aca="false">VLOOKUP($B98,DM_NHAN_VIEN!$B$4:$F$18,3,FALSE())</f>
        <v>Hành chính</v>
      </c>
      <c r="E98" s="9" t="str">
        <f aca="false">VLOOKUP($B98,DM_NHAN_VIEN!$B$4:$F$18,4,FALSE())</f>
        <v>Trưởng phòng</v>
      </c>
      <c r="F98" s="18" t="n">
        <v>46181</v>
      </c>
      <c r="G98" s="9" t="str">
        <f aca="false">CHOOSE(WEEKDAY(F98,2),"Thứ Hai","Thứ Ba","Thứ Tư","Thứ Năm","Thứ Sáu","Thứ Bảy","Chủ Nhật")</f>
        <v>Thứ Hai</v>
      </c>
      <c r="H98" s="9" t="str">
        <f aca="false">VLOOKUP($B98,DM_NHAN_VIEN!$B$4:$F$18,5,FALSE())</f>
        <v>Ca Hành Chính</v>
      </c>
      <c r="I98" s="9" t="str">
        <f aca="false">VLOOKUP($H98,DM_CA_LAM!$A$4:$C$6,2,FALSE())</f>
        <v>07:30</v>
      </c>
      <c r="J98" s="9" t="str">
        <f aca="false">VLOOKUP($H98,DM_CA_LAM!$A$4:$C$6,3,FALSE())</f>
        <v>17:30</v>
      </c>
      <c r="K98" s="9" t="s">
        <v>181</v>
      </c>
      <c r="L98" s="9" t="s">
        <v>153</v>
      </c>
      <c r="M98" s="9" t="n">
        <f aca="false">IF($K98="","",MAX(0,ROUND((TIMEVALUE($K98)-TIMEVALUE($I98))*1440,0)))</f>
        <v>14</v>
      </c>
      <c r="N98" s="9" t="n">
        <f aca="false">IF($L98="","",MAX(0,ROUND((TIMEVALUE($J98)-TIMEVALUE($L98))*1440,0)))</f>
        <v>0</v>
      </c>
      <c r="O98" s="9" t="n">
        <f aca="false">IF(OR($K98="",$L98=""),0,ROUND(VLOOKUP($H98,DM_CA_LAM!$A$4:$F$6,6,FALSE())-$M98/60-$N98/60,2))</f>
        <v>7.77</v>
      </c>
      <c r="P98" s="9" t="s">
        <v>111</v>
      </c>
      <c r="Q98" s="9" t="n">
        <v>0</v>
      </c>
      <c r="R98" s="10"/>
      <c r="S98" s="10" t="s">
        <v>182</v>
      </c>
      <c r="T98" s="9" t="str">
        <f aca="false">$B98&amp;"_"&amp;TEXT($F98,"yyyymmdd")</f>
        <v>NV006_20260608</v>
      </c>
      <c r="U98" s="9" t="str">
        <f aca="false">VLOOKUP($P98,DM_TRANG_THAI!$A$4:$B$9,2,FALSE())</f>
        <v>L</v>
      </c>
    </row>
    <row r="99" customFormat="false" ht="15.75" hidden="false" customHeight="true" outlineLevel="0" collapsed="false">
      <c r="A99" s="9" t="n">
        <v>96</v>
      </c>
      <c r="B99" s="9" t="s">
        <v>47</v>
      </c>
      <c r="C99" s="10" t="str">
        <f aca="false">VLOOKUP($B99,DM_NHAN_VIEN!$B$4:$F$18,2,FALSE())</f>
        <v>Ngô Văn Tài</v>
      </c>
      <c r="D99" s="9" t="str">
        <f aca="false">VLOOKUP($B99,DM_NHAN_VIEN!$B$4:$F$18,3,FALSE())</f>
        <v>Hành chính</v>
      </c>
      <c r="E99" s="9" t="str">
        <f aca="false">VLOOKUP($B99,DM_NHAN_VIEN!$B$4:$F$18,4,FALSE())</f>
        <v>Phó phòng</v>
      </c>
      <c r="F99" s="18" t="n">
        <v>46181</v>
      </c>
      <c r="G99" s="9" t="str">
        <f aca="false">CHOOSE(WEEKDAY(F99,2),"Thứ Hai","Thứ Ba","Thứ Tư","Thứ Năm","Thứ Sáu","Thứ Bảy","Chủ Nhật")</f>
        <v>Thứ Hai</v>
      </c>
      <c r="H99" s="9" t="str">
        <f aca="false">VLOOKUP($B99,DM_NHAN_VIEN!$B$4:$F$18,5,FALSE())</f>
        <v>Ca Hành Chính</v>
      </c>
      <c r="I99" s="9" t="str">
        <f aca="false">VLOOKUP($H99,DM_CA_LAM!$A$4:$C$6,2,FALSE())</f>
        <v>07:30</v>
      </c>
      <c r="J99" s="9" t="str">
        <f aca="false">VLOOKUP($H99,DM_CA_LAM!$A$4:$C$6,3,FALSE())</f>
        <v>17:30</v>
      </c>
      <c r="K99" s="9" t="s">
        <v>145</v>
      </c>
      <c r="L99" s="9" t="s">
        <v>174</v>
      </c>
      <c r="M99" s="9" t="n">
        <f aca="false">IF($K99="","",MAX(0,ROUND((TIMEVALUE($K99)-TIMEVALUE($I99))*1440,0)))</f>
        <v>0</v>
      </c>
      <c r="N99" s="9" t="n">
        <f aca="false">IF($L99="","",MAX(0,ROUND((TIMEVALUE($J99)-TIMEVALUE($L99))*1440,0)))</f>
        <v>0</v>
      </c>
      <c r="O99" s="9" t="n">
        <f aca="false">IF(OR($K99="",$L99=""),0,ROUND(VLOOKUP($H99,DM_CA_LAM!$A$4:$F$6,6,FALSE())-$M99/60-$N99/60,2))</f>
        <v>8</v>
      </c>
      <c r="P99" s="9" t="s">
        <v>108</v>
      </c>
      <c r="Q99" s="9" t="n">
        <v>0</v>
      </c>
      <c r="R99" s="10"/>
      <c r="S99" s="10"/>
      <c r="T99" s="9" t="str">
        <f aca="false">$B99&amp;"_"&amp;TEXT($F99,"yyyymmdd")</f>
        <v>NV007_20260608</v>
      </c>
      <c r="U99" s="9" t="str">
        <f aca="false">VLOOKUP($P99,DM_TRANG_THAI!$A$4:$B$9,2,FALSE())</f>
        <v>P</v>
      </c>
    </row>
    <row r="100" customFormat="false" ht="15.75" hidden="false" customHeight="true" outlineLevel="0" collapsed="false">
      <c r="A100" s="9" t="n">
        <v>97</v>
      </c>
      <c r="B100" s="9" t="s">
        <v>51</v>
      </c>
      <c r="C100" s="10" t="str">
        <f aca="false">VLOOKUP($B100,DM_NHAN_VIEN!$B$4:$F$18,2,FALSE())</f>
        <v>Vũ Thị Nga</v>
      </c>
      <c r="D100" s="9" t="str">
        <f aca="false">VLOOKUP($B100,DM_NHAN_VIEN!$B$4:$F$18,3,FALSE())</f>
        <v>Hành chính</v>
      </c>
      <c r="E100" s="9" t="str">
        <f aca="false">VLOOKUP($B100,DM_NHAN_VIEN!$B$4:$F$18,4,FALSE())</f>
        <v>Chuyên viên</v>
      </c>
      <c r="F100" s="18" t="n">
        <v>46181</v>
      </c>
      <c r="G100" s="9" t="str">
        <f aca="false">CHOOSE(WEEKDAY(F100,2),"Thứ Hai","Thứ Ba","Thứ Tư","Thứ Năm","Thứ Sáu","Thứ Bảy","Chủ Nhật")</f>
        <v>Thứ Hai</v>
      </c>
      <c r="H100" s="9" t="str">
        <f aca="false">VLOOKUP($B100,DM_NHAN_VIEN!$B$4:$F$18,5,FALSE())</f>
        <v>Ca Hành Chính</v>
      </c>
      <c r="I100" s="9" t="str">
        <f aca="false">VLOOKUP($H100,DM_CA_LAM!$A$4:$C$6,2,FALSE())</f>
        <v>07:30</v>
      </c>
      <c r="J100" s="9" t="str">
        <f aca="false">VLOOKUP($H100,DM_CA_LAM!$A$4:$C$6,3,FALSE())</f>
        <v>17:30</v>
      </c>
      <c r="K100" s="9" t="s">
        <v>161</v>
      </c>
      <c r="L100" s="9" t="s">
        <v>146</v>
      </c>
      <c r="M100" s="9" t="n">
        <f aca="false">IF($K100="","",MAX(0,ROUND((TIMEVALUE($K100)-TIMEVALUE($I100))*1440,0)))</f>
        <v>0</v>
      </c>
      <c r="N100" s="9" t="n">
        <f aca="false">IF($L100="","",MAX(0,ROUND((TIMEVALUE($J100)-TIMEVALUE($L100))*1440,0)))</f>
        <v>0</v>
      </c>
      <c r="O100" s="9" t="n">
        <f aca="false">IF(OR($K100="",$L100=""),0,ROUND(VLOOKUP($H100,DM_CA_LAM!$A$4:$F$6,6,FALSE())-$M100/60-$N100/60,2))</f>
        <v>8</v>
      </c>
      <c r="P100" s="9" t="s">
        <v>108</v>
      </c>
      <c r="Q100" s="9" t="n">
        <v>0</v>
      </c>
      <c r="R100" s="10"/>
      <c r="S100" s="10"/>
      <c r="T100" s="9" t="str">
        <f aca="false">$B100&amp;"_"&amp;TEXT($F100,"yyyymmdd")</f>
        <v>NV008_20260608</v>
      </c>
      <c r="U100" s="9" t="str">
        <f aca="false">VLOOKUP($P100,DM_TRANG_THAI!$A$4:$B$9,2,FALSE())</f>
        <v>P</v>
      </c>
    </row>
    <row r="101" customFormat="false" ht="15.75" hidden="false" customHeight="true" outlineLevel="0" collapsed="false">
      <c r="A101" s="9" t="n">
        <v>98</v>
      </c>
      <c r="B101" s="9" t="s">
        <v>55</v>
      </c>
      <c r="C101" s="10" t="str">
        <f aca="false">VLOOKUP($B101,DM_NHAN_VIEN!$B$4:$F$18,2,FALSE())</f>
        <v>Đặng Thị Hồng</v>
      </c>
      <c r="D101" s="9" t="str">
        <f aca="false">VLOOKUP($B101,DM_NHAN_VIEN!$B$4:$F$18,3,FALSE())</f>
        <v>Nhân sự</v>
      </c>
      <c r="E101" s="9" t="str">
        <f aca="false">VLOOKUP($B101,DM_NHAN_VIEN!$B$4:$F$18,4,FALSE())</f>
        <v>Chuyên viên</v>
      </c>
      <c r="F101" s="18" t="n">
        <v>46181</v>
      </c>
      <c r="G101" s="9" t="str">
        <f aca="false">CHOOSE(WEEKDAY(F101,2),"Thứ Hai","Thứ Ba","Thứ Tư","Thứ Năm","Thứ Sáu","Thứ Bảy","Chủ Nhật")</f>
        <v>Thứ Hai</v>
      </c>
      <c r="H101" s="9" t="str">
        <f aca="false">VLOOKUP($B101,DM_NHAN_VIEN!$B$4:$F$18,5,FALSE())</f>
        <v>Ca Hành Chính</v>
      </c>
      <c r="I101" s="9" t="str">
        <f aca="false">VLOOKUP($H101,DM_CA_LAM!$A$4:$C$6,2,FALSE())</f>
        <v>07:30</v>
      </c>
      <c r="J101" s="9" t="str">
        <f aca="false">VLOOKUP($H101,DM_CA_LAM!$A$4:$C$6,3,FALSE())</f>
        <v>17:30</v>
      </c>
      <c r="K101" s="9" t="s">
        <v>156</v>
      </c>
      <c r="L101" s="9" t="s">
        <v>174</v>
      </c>
      <c r="M101" s="9" t="n">
        <f aca="false">IF($K101="","",MAX(0,ROUND((TIMEVALUE($K101)-TIMEVALUE($I101))*1440,0)))</f>
        <v>0</v>
      </c>
      <c r="N101" s="9" t="n">
        <f aca="false">IF($L101="","",MAX(0,ROUND((TIMEVALUE($J101)-TIMEVALUE($L101))*1440,0)))</f>
        <v>0</v>
      </c>
      <c r="O101" s="9" t="n">
        <f aca="false">IF(OR($K101="",$L101=""),0,ROUND(VLOOKUP($H101,DM_CA_LAM!$A$4:$F$6,6,FALSE())-$M101/60-$N101/60,2))</f>
        <v>8</v>
      </c>
      <c r="P101" s="9" t="s">
        <v>108</v>
      </c>
      <c r="Q101" s="9" t="n">
        <v>0</v>
      </c>
      <c r="R101" s="10"/>
      <c r="S101" s="10"/>
      <c r="T101" s="9" t="str">
        <f aca="false">$B101&amp;"_"&amp;TEXT($F101,"yyyymmdd")</f>
        <v>NV010_20260608</v>
      </c>
      <c r="U101" s="9" t="str">
        <f aca="false">VLOOKUP($P101,DM_TRANG_THAI!$A$4:$B$9,2,FALSE())</f>
        <v>P</v>
      </c>
    </row>
    <row r="102" customFormat="false" ht="15.75" hidden="false" customHeight="true" outlineLevel="0" collapsed="false">
      <c r="A102" s="9" t="n">
        <v>99</v>
      </c>
      <c r="B102" s="9" t="s">
        <v>58</v>
      </c>
      <c r="C102" s="10" t="str">
        <f aca="false">VLOOKUP($B102,DM_NHAN_VIEN!$B$4:$F$18,2,FALSE())</f>
        <v>Chu Văn Minh</v>
      </c>
      <c r="D102" s="9" t="str">
        <f aca="false">VLOOKUP($B102,DM_NHAN_VIEN!$B$4:$F$18,3,FALSE())</f>
        <v>Nhân sự</v>
      </c>
      <c r="E102" s="9" t="str">
        <f aca="false">VLOOKUP($B102,DM_NHAN_VIEN!$B$4:$F$18,4,FALSE())</f>
        <v>Chuyên viên</v>
      </c>
      <c r="F102" s="18" t="n">
        <v>46181</v>
      </c>
      <c r="G102" s="9" t="str">
        <f aca="false">CHOOSE(WEEKDAY(F102,2),"Thứ Hai","Thứ Ba","Thứ Tư","Thứ Năm","Thứ Sáu","Thứ Bảy","Chủ Nhật")</f>
        <v>Thứ Hai</v>
      </c>
      <c r="H102" s="9" t="str">
        <f aca="false">VLOOKUP($B102,DM_NHAN_VIEN!$B$4:$F$18,5,FALSE())</f>
        <v>Ca Hành Chính</v>
      </c>
      <c r="I102" s="9" t="str">
        <f aca="false">VLOOKUP($H102,DM_CA_LAM!$A$4:$C$6,2,FALSE())</f>
        <v>07:30</v>
      </c>
      <c r="J102" s="9" t="str">
        <f aca="false">VLOOKUP($H102,DM_CA_LAM!$A$4:$C$6,3,FALSE())</f>
        <v>17:30</v>
      </c>
      <c r="K102" s="9" t="s">
        <v>160</v>
      </c>
      <c r="L102" s="9" t="s">
        <v>170</v>
      </c>
      <c r="M102" s="9" t="n">
        <f aca="false">IF($K102="","",MAX(0,ROUND((TIMEVALUE($K102)-TIMEVALUE($I102))*1440,0)))</f>
        <v>0</v>
      </c>
      <c r="N102" s="9" t="n">
        <f aca="false">IF($L102="","",MAX(0,ROUND((TIMEVALUE($J102)-TIMEVALUE($L102))*1440,0)))</f>
        <v>0</v>
      </c>
      <c r="O102" s="9" t="n">
        <f aca="false">IF(OR($K102="",$L102=""),0,ROUND(VLOOKUP($H102,DM_CA_LAM!$A$4:$F$6,6,FALSE())-$M102/60-$N102/60,2))</f>
        <v>8</v>
      </c>
      <c r="P102" s="9" t="s">
        <v>108</v>
      </c>
      <c r="Q102" s="9" t="n">
        <v>0</v>
      </c>
      <c r="R102" s="10"/>
      <c r="S102" s="10"/>
      <c r="T102" s="9" t="str">
        <f aca="false">$B102&amp;"_"&amp;TEXT($F102,"yyyymmdd")</f>
        <v>NV011_20260608</v>
      </c>
      <c r="U102" s="9" t="str">
        <f aca="false">VLOOKUP($P102,DM_TRANG_THAI!$A$4:$B$9,2,FALSE())</f>
        <v>P</v>
      </c>
    </row>
    <row r="103" customFormat="false" ht="15.75" hidden="false" customHeight="true" outlineLevel="0" collapsed="false">
      <c r="A103" s="9" t="n">
        <v>100</v>
      </c>
      <c r="B103" s="9" t="s">
        <v>61</v>
      </c>
      <c r="C103" s="10" t="str">
        <f aca="false">VLOOKUP($B103,DM_NHAN_VIEN!$B$4:$F$18,2,FALSE())</f>
        <v>Phan Thị Khánh</v>
      </c>
      <c r="D103" s="9" t="str">
        <f aca="false">VLOOKUP($B103,DM_NHAN_VIEN!$B$4:$F$18,3,FALSE())</f>
        <v>Kế toán</v>
      </c>
      <c r="E103" s="9" t="str">
        <f aca="false">VLOOKUP($B103,DM_NHAN_VIEN!$B$4:$F$18,4,FALSE())</f>
        <v>Trưởng phòng</v>
      </c>
      <c r="F103" s="18" t="n">
        <v>46181</v>
      </c>
      <c r="G103" s="9" t="str">
        <f aca="false">CHOOSE(WEEKDAY(F103,2),"Thứ Hai","Thứ Ba","Thứ Tư","Thứ Năm","Thứ Sáu","Thứ Bảy","Chủ Nhật")</f>
        <v>Thứ Hai</v>
      </c>
      <c r="H103" s="9" t="str">
        <f aca="false">VLOOKUP($B103,DM_NHAN_VIEN!$B$4:$F$18,5,FALSE())</f>
        <v>Ca Hành Chính</v>
      </c>
      <c r="I103" s="9" t="str">
        <f aca="false">VLOOKUP($H103,DM_CA_LAM!$A$4:$C$6,2,FALSE())</f>
        <v>07:30</v>
      </c>
      <c r="J103" s="9" t="str">
        <f aca="false">VLOOKUP($H103,DM_CA_LAM!$A$4:$C$6,3,FALSE())</f>
        <v>17:30</v>
      </c>
      <c r="K103" s="9" t="s">
        <v>158</v>
      </c>
      <c r="L103" s="9" t="s">
        <v>183</v>
      </c>
      <c r="M103" s="9" t="n">
        <f aca="false">IF($K103="","",MAX(0,ROUND((TIMEVALUE($K103)-TIMEVALUE($I103))*1440,0)))</f>
        <v>0</v>
      </c>
      <c r="N103" s="9" t="n">
        <f aca="false">IF($L103="","",MAX(0,ROUND((TIMEVALUE($J103)-TIMEVALUE($L103))*1440,0)))</f>
        <v>0</v>
      </c>
      <c r="O103" s="9" t="n">
        <f aca="false">IF(OR($K103="",$L103=""),0,ROUND(VLOOKUP($H103,DM_CA_LAM!$A$4:$F$6,6,FALSE())-$M103/60-$N103/60,2))</f>
        <v>8</v>
      </c>
      <c r="P103" s="9" t="s">
        <v>108</v>
      </c>
      <c r="Q103" s="9" t="n">
        <v>0</v>
      </c>
      <c r="R103" s="10"/>
      <c r="S103" s="10"/>
      <c r="T103" s="9" t="str">
        <f aca="false">$B103&amp;"_"&amp;TEXT($F103,"yyyymmdd")</f>
        <v>NV014_20260608</v>
      </c>
      <c r="U103" s="9" t="str">
        <f aca="false">VLOOKUP($P103,DM_TRANG_THAI!$A$4:$B$9,2,FALSE())</f>
        <v>P</v>
      </c>
    </row>
    <row r="104" customFormat="false" ht="15.75" hidden="false" customHeight="true" outlineLevel="0" collapsed="false">
      <c r="A104" s="9" t="n">
        <v>101</v>
      </c>
      <c r="B104" s="9" t="s">
        <v>65</v>
      </c>
      <c r="C104" s="10" t="str">
        <f aca="false">VLOOKUP($B104,DM_NHAN_VIEN!$B$4:$F$18,2,FALSE())</f>
        <v>Trịnh Văn Hùng</v>
      </c>
      <c r="D104" s="9" t="str">
        <f aca="false">VLOOKUP($B104,DM_NHAN_VIEN!$B$4:$F$18,3,FALSE())</f>
        <v>Kế toán</v>
      </c>
      <c r="E104" s="9" t="str">
        <f aca="false">VLOOKUP($B104,DM_NHAN_VIEN!$B$4:$F$18,4,FALSE())</f>
        <v>Phó phòng</v>
      </c>
      <c r="F104" s="18" t="n">
        <v>46181</v>
      </c>
      <c r="G104" s="9" t="str">
        <f aca="false">CHOOSE(WEEKDAY(F104,2),"Thứ Hai","Thứ Ba","Thứ Tư","Thứ Năm","Thứ Sáu","Thứ Bảy","Chủ Nhật")</f>
        <v>Thứ Hai</v>
      </c>
      <c r="H104" s="9" t="str">
        <f aca="false">VLOOKUP($B104,DM_NHAN_VIEN!$B$4:$F$18,5,FALSE())</f>
        <v>Ca Hành Chính</v>
      </c>
      <c r="I104" s="9" t="str">
        <f aca="false">VLOOKUP($H104,DM_CA_LAM!$A$4:$C$6,2,FALSE())</f>
        <v>07:30</v>
      </c>
      <c r="J104" s="9" t="str">
        <f aca="false">VLOOKUP($H104,DM_CA_LAM!$A$4:$C$6,3,FALSE())</f>
        <v>17:30</v>
      </c>
      <c r="K104" s="9" t="s">
        <v>145</v>
      </c>
      <c r="L104" s="9" t="s">
        <v>144</v>
      </c>
      <c r="M104" s="9" t="n">
        <f aca="false">IF($K104="","",MAX(0,ROUND((TIMEVALUE($K104)-TIMEVALUE($I104))*1440,0)))</f>
        <v>0</v>
      </c>
      <c r="N104" s="9" t="n">
        <f aca="false">IF($L104="","",MAX(0,ROUND((TIMEVALUE($J104)-TIMEVALUE($L104))*1440,0)))</f>
        <v>0</v>
      </c>
      <c r="O104" s="9" t="n">
        <f aca="false">IF(OR($K104="",$L104=""),0,ROUND(VLOOKUP($H104,DM_CA_LAM!$A$4:$F$6,6,FALSE())-$M104/60-$N104/60,2))</f>
        <v>8</v>
      </c>
      <c r="P104" s="9" t="s">
        <v>108</v>
      </c>
      <c r="Q104" s="9" t="n">
        <v>0</v>
      </c>
      <c r="R104" s="10"/>
      <c r="S104" s="10"/>
      <c r="T104" s="9" t="str">
        <f aca="false">$B104&amp;"_"&amp;TEXT($F104,"yyyymmdd")</f>
        <v>NV015_20260608</v>
      </c>
      <c r="U104" s="9" t="str">
        <f aca="false">VLOOKUP($P104,DM_TRANG_THAI!$A$4:$B$9,2,FALSE())</f>
        <v>P</v>
      </c>
    </row>
    <row r="105" customFormat="false" ht="15.75" hidden="false" customHeight="true" outlineLevel="0" collapsed="false">
      <c r="A105" s="9" t="n">
        <v>102</v>
      </c>
      <c r="B105" s="9" t="s">
        <v>68</v>
      </c>
      <c r="C105" s="10" t="str">
        <f aca="false">VLOOKUP($B105,DM_NHAN_VIEN!$B$4:$F$18,2,FALSE())</f>
        <v>Hoàng Văn Lộc</v>
      </c>
      <c r="D105" s="9" t="str">
        <f aca="false">VLOOKUP($B105,DM_NHAN_VIEN!$B$4:$F$18,3,FALSE())</f>
        <v>Kinh doanh</v>
      </c>
      <c r="E105" s="9" t="str">
        <f aca="false">VLOOKUP($B105,DM_NHAN_VIEN!$B$4:$F$18,4,FALSE())</f>
        <v>Trưởng phòng</v>
      </c>
      <c r="F105" s="18" t="n">
        <v>46181</v>
      </c>
      <c r="G105" s="9" t="str">
        <f aca="false">CHOOSE(WEEKDAY(F105,2),"Thứ Hai","Thứ Ba","Thứ Tư","Thứ Năm","Thứ Sáu","Thứ Bảy","Chủ Nhật")</f>
        <v>Thứ Hai</v>
      </c>
      <c r="H105" s="9" t="str">
        <f aca="false">VLOOKUP($B105,DM_NHAN_VIEN!$B$4:$F$18,5,FALSE())</f>
        <v>Ca Hành Chính</v>
      </c>
      <c r="I105" s="9" t="str">
        <f aca="false">VLOOKUP($H105,DM_CA_LAM!$A$4:$C$6,2,FALSE())</f>
        <v>07:30</v>
      </c>
      <c r="J105" s="9" t="str">
        <f aca="false">VLOOKUP($H105,DM_CA_LAM!$A$4:$C$6,3,FALSE())</f>
        <v>17:30</v>
      </c>
      <c r="K105" s="9" t="s">
        <v>160</v>
      </c>
      <c r="L105" s="9" t="s">
        <v>165</v>
      </c>
      <c r="M105" s="9" t="n">
        <f aca="false">IF($K105="","",MAX(0,ROUND((TIMEVALUE($K105)-TIMEVALUE($I105))*1440,0)))</f>
        <v>0</v>
      </c>
      <c r="N105" s="9" t="n">
        <f aca="false">IF($L105="","",MAX(0,ROUND((TIMEVALUE($J105)-TIMEVALUE($L105))*1440,0)))</f>
        <v>0</v>
      </c>
      <c r="O105" s="9" t="n">
        <f aca="false">IF(OR($K105="",$L105=""),0,ROUND(VLOOKUP($H105,DM_CA_LAM!$A$4:$F$6,6,FALSE())-$M105/60-$N105/60,2))</f>
        <v>8</v>
      </c>
      <c r="P105" s="9" t="s">
        <v>108</v>
      </c>
      <c r="Q105" s="9" t="n">
        <v>0</v>
      </c>
      <c r="R105" s="10"/>
      <c r="S105" s="10"/>
      <c r="T105" s="9" t="str">
        <f aca="false">$B105&amp;"_"&amp;TEXT($F105,"yyyymmdd")</f>
        <v>NV019_20260608</v>
      </c>
      <c r="U105" s="9" t="str">
        <f aca="false">VLOOKUP($P105,DM_TRANG_THAI!$A$4:$B$9,2,FALSE())</f>
        <v>P</v>
      </c>
    </row>
    <row r="106" customFormat="false" ht="15.75" hidden="false" customHeight="true" outlineLevel="0" collapsed="false">
      <c r="A106" s="9" t="n">
        <v>103</v>
      </c>
      <c r="B106" s="9" t="s">
        <v>72</v>
      </c>
      <c r="C106" s="10" t="str">
        <f aca="false">VLOOKUP($B106,DM_NHAN_VIEN!$B$4:$F$18,2,FALSE())</f>
        <v>Nguyễn Văn Phú</v>
      </c>
      <c r="D106" s="9" t="str">
        <f aca="false">VLOOKUP($B106,DM_NHAN_VIEN!$B$4:$F$18,3,FALSE())</f>
        <v>Kinh doanh</v>
      </c>
      <c r="E106" s="9" t="str">
        <f aca="false">VLOOKUP($B106,DM_NHAN_VIEN!$B$4:$F$18,4,FALSE())</f>
        <v>Nhân viên</v>
      </c>
      <c r="F106" s="18" t="n">
        <v>46181</v>
      </c>
      <c r="G106" s="9" t="str">
        <f aca="false">CHOOSE(WEEKDAY(F106,2),"Thứ Hai","Thứ Ba","Thứ Tư","Thứ Năm","Thứ Sáu","Thứ Bảy","Chủ Nhật")</f>
        <v>Thứ Hai</v>
      </c>
      <c r="H106" s="9" t="str">
        <f aca="false">VLOOKUP($B106,DM_NHAN_VIEN!$B$4:$F$18,5,FALSE())</f>
        <v>Ca Hành Chính</v>
      </c>
      <c r="I106" s="9" t="str">
        <f aca="false">VLOOKUP($H106,DM_CA_LAM!$A$4:$C$6,2,FALSE())</f>
        <v>07:30</v>
      </c>
      <c r="J106" s="9" t="str">
        <f aca="false">VLOOKUP($H106,DM_CA_LAM!$A$4:$C$6,3,FALSE())</f>
        <v>17:30</v>
      </c>
      <c r="K106" s="9" t="s">
        <v>167</v>
      </c>
      <c r="L106" s="9" t="s">
        <v>159</v>
      </c>
      <c r="M106" s="9" t="n">
        <f aca="false">IF($K106="","",MAX(0,ROUND((TIMEVALUE($K106)-TIMEVALUE($I106))*1440,0)))</f>
        <v>0</v>
      </c>
      <c r="N106" s="9" t="n">
        <f aca="false">IF($L106="","",MAX(0,ROUND((TIMEVALUE($J106)-TIMEVALUE($L106))*1440,0)))</f>
        <v>0</v>
      </c>
      <c r="O106" s="9" t="n">
        <f aca="false">IF(OR($K106="",$L106=""),0,ROUND(VLOOKUP($H106,DM_CA_LAM!$A$4:$F$6,6,FALSE())-$M106/60-$N106/60,2))</f>
        <v>8</v>
      </c>
      <c r="P106" s="9" t="s">
        <v>108</v>
      </c>
      <c r="Q106" s="9" t="n">
        <v>2.5</v>
      </c>
      <c r="R106" s="10" t="s">
        <v>184</v>
      </c>
      <c r="S106" s="10"/>
      <c r="T106" s="9" t="str">
        <f aca="false">$B106&amp;"_"&amp;TEXT($F106,"yyyymmdd")</f>
        <v>NV021_20260608</v>
      </c>
      <c r="U106" s="9" t="str">
        <f aca="false">VLOOKUP($P106,DM_TRANG_THAI!$A$4:$B$9,2,FALSE())</f>
        <v>P</v>
      </c>
    </row>
    <row r="107" customFormat="false" ht="15.75" hidden="false" customHeight="true" outlineLevel="0" collapsed="false">
      <c r="A107" s="9" t="n">
        <v>104</v>
      </c>
      <c r="B107" s="9" t="s">
        <v>76</v>
      </c>
      <c r="C107" s="10" t="str">
        <f aca="false">VLOOKUP($B107,DM_NHAN_VIEN!$B$4:$F$18,2,FALSE())</f>
        <v>Lý Văn Dũng</v>
      </c>
      <c r="D107" s="9" t="str">
        <f aca="false">VLOOKUP($B107,DM_NHAN_VIEN!$B$4:$F$18,3,FALSE())</f>
        <v>Xưởng sản xuất</v>
      </c>
      <c r="E107" s="9" t="str">
        <f aca="false">VLOOKUP($B107,DM_NHAN_VIEN!$B$4:$F$18,4,FALSE())</f>
        <v>Tổ trưởng</v>
      </c>
      <c r="F107" s="18" t="n">
        <v>46181</v>
      </c>
      <c r="G107" s="9" t="str">
        <f aca="false">CHOOSE(WEEKDAY(F107,2),"Thứ Hai","Thứ Ba","Thứ Tư","Thứ Năm","Thứ Sáu","Thứ Bảy","Chủ Nhật")</f>
        <v>Thứ Hai</v>
      </c>
      <c r="H107" s="9" t="str">
        <f aca="false">VLOOKUP($B107,DM_NHAN_VIEN!$B$4:$F$18,5,FALSE())</f>
        <v>Ca Hành Chính</v>
      </c>
      <c r="I107" s="9" t="str">
        <f aca="false">VLOOKUP($H107,DM_CA_LAM!$A$4:$C$6,2,FALSE())</f>
        <v>07:30</v>
      </c>
      <c r="J107" s="9" t="str">
        <f aca="false">VLOOKUP($H107,DM_CA_LAM!$A$4:$C$6,3,FALSE())</f>
        <v>17:30</v>
      </c>
      <c r="K107" s="9"/>
      <c r="L107" s="9"/>
      <c r="M107" s="9" t="str">
        <f aca="false">IF($K107="","",MAX(0,ROUND((TIMEVALUE($K107)-TIMEVALUE($I107))*1440,0)))</f>
        <v/>
      </c>
      <c r="N107" s="9" t="str">
        <f aca="false">IF($L107="","",MAX(0,ROUND((TIMEVALUE($J107)-TIMEVALUE($L107))*1440,0)))</f>
        <v/>
      </c>
      <c r="O107" s="9" t="n">
        <f aca="false">IF(OR($K107="",$L107=""),0,ROUND(VLOOKUP($H107,DM_CA_LAM!$A$4:$F$6,6,FALSE())-$M107/60-$N107/60,2))</f>
        <v>0</v>
      </c>
      <c r="P107" s="9" t="s">
        <v>114</v>
      </c>
      <c r="Q107" s="9" t="n">
        <v>0</v>
      </c>
      <c r="R107" s="10"/>
      <c r="S107" s="10" t="s">
        <v>185</v>
      </c>
      <c r="T107" s="9" t="str">
        <f aca="false">$B107&amp;"_"&amp;TEXT($F107,"yyyymmdd")</f>
        <v>NV029_20260608</v>
      </c>
      <c r="U107" s="9" t="str">
        <f aca="false">VLOOKUP($P107,DM_TRANG_THAI!$A$4:$B$9,2,FALSE())</f>
        <v>A</v>
      </c>
    </row>
    <row r="108" customFormat="false" ht="15.75" hidden="false" customHeight="true" outlineLevel="0" collapsed="false">
      <c r="A108" s="9" t="n">
        <v>105</v>
      </c>
      <c r="B108" s="9" t="s">
        <v>80</v>
      </c>
      <c r="C108" s="10" t="str">
        <f aca="false">VLOOKUP($B108,DM_NHAN_VIEN!$B$4:$F$18,2,FALSE())</f>
        <v>Tống Văn Thắng</v>
      </c>
      <c r="D108" s="9" t="str">
        <f aca="false">VLOOKUP($B108,DM_NHAN_VIEN!$B$4:$F$18,3,FALSE())</f>
        <v>Xưởng sản xuất</v>
      </c>
      <c r="E108" s="9" t="str">
        <f aca="false">VLOOKUP($B108,DM_NHAN_VIEN!$B$4:$F$18,4,FALSE())</f>
        <v>Tổ trưởng</v>
      </c>
      <c r="F108" s="18" t="n">
        <v>46181</v>
      </c>
      <c r="G108" s="9" t="str">
        <f aca="false">CHOOSE(WEEKDAY(F108,2),"Thứ Hai","Thứ Ba","Thứ Tư","Thứ Năm","Thứ Sáu","Thứ Bảy","Chủ Nhật")</f>
        <v>Thứ Hai</v>
      </c>
      <c r="H108" s="9" t="str">
        <f aca="false">VLOOKUP($B108,DM_NHAN_VIEN!$B$4:$F$18,5,FALSE())</f>
        <v>Ca Hành Chính</v>
      </c>
      <c r="I108" s="9" t="str">
        <f aca="false">VLOOKUP($H108,DM_CA_LAM!$A$4:$C$6,2,FALSE())</f>
        <v>07:30</v>
      </c>
      <c r="J108" s="9" t="str">
        <f aca="false">VLOOKUP($H108,DM_CA_LAM!$A$4:$C$6,3,FALSE())</f>
        <v>17:30</v>
      </c>
      <c r="K108" s="9" t="s">
        <v>167</v>
      </c>
      <c r="L108" s="9" t="s">
        <v>183</v>
      </c>
      <c r="M108" s="9" t="n">
        <f aca="false">IF($K108="","",MAX(0,ROUND((TIMEVALUE($K108)-TIMEVALUE($I108))*1440,0)))</f>
        <v>0</v>
      </c>
      <c r="N108" s="9" t="n">
        <f aca="false">IF($L108="","",MAX(0,ROUND((TIMEVALUE($J108)-TIMEVALUE($L108))*1440,0)))</f>
        <v>0</v>
      </c>
      <c r="O108" s="9" t="n">
        <f aca="false">IF(OR($K108="",$L108=""),0,ROUND(VLOOKUP($H108,DM_CA_LAM!$A$4:$F$6,6,FALSE())-$M108/60-$N108/60,2))</f>
        <v>8</v>
      </c>
      <c r="P108" s="9" t="s">
        <v>108</v>
      </c>
      <c r="Q108" s="9" t="n">
        <v>0</v>
      </c>
      <c r="R108" s="10"/>
      <c r="S108" s="10"/>
      <c r="T108" s="9" t="str">
        <f aca="false">$B108&amp;"_"&amp;TEXT($F108,"yyyymmdd")</f>
        <v>NV030_20260608</v>
      </c>
      <c r="U108" s="9" t="str">
        <f aca="false">VLOOKUP($P108,DM_TRANG_THAI!$A$4:$B$9,2,FALSE())</f>
        <v>P</v>
      </c>
    </row>
    <row r="109" customFormat="false" ht="15.75" hidden="false" customHeight="true" outlineLevel="0" collapsed="false">
      <c r="A109" s="9" t="n">
        <v>106</v>
      </c>
      <c r="B109" s="9" t="s">
        <v>24</v>
      </c>
      <c r="C109" s="10" t="str">
        <f aca="false">VLOOKUP($B109,DM_NHAN_VIEN!$B$4:$F$18,2,FALSE())</f>
        <v>Nguyễn Văn Giám Đốc</v>
      </c>
      <c r="D109" s="9" t="str">
        <f aca="false">VLOOKUP($B109,DM_NHAN_VIEN!$B$4:$F$18,3,FALSE())</f>
        <v>Hành chính</v>
      </c>
      <c r="E109" s="9" t="str">
        <f aca="false">VLOOKUP($B109,DM_NHAN_VIEN!$B$4:$F$18,4,FALSE())</f>
        <v>Giám đốc</v>
      </c>
      <c r="F109" s="18" t="n">
        <v>46182</v>
      </c>
      <c r="G109" s="9" t="str">
        <f aca="false">CHOOSE(WEEKDAY(F109,2),"Thứ Hai","Thứ Ba","Thứ Tư","Thứ Năm","Thứ Sáu","Thứ Bảy","Chủ Nhật")</f>
        <v>Thứ Ba</v>
      </c>
      <c r="H109" s="9" t="str">
        <f aca="false">VLOOKUP($B109,DM_NHAN_VIEN!$B$4:$F$18,5,FALSE())</f>
        <v>Ca Hành Chính</v>
      </c>
      <c r="I109" s="9" t="str">
        <f aca="false">VLOOKUP($H109,DM_CA_LAM!$A$4:$C$6,2,FALSE())</f>
        <v>07:30</v>
      </c>
      <c r="J109" s="9" t="str">
        <f aca="false">VLOOKUP($H109,DM_CA_LAM!$A$4:$C$6,3,FALSE())</f>
        <v>17:30</v>
      </c>
      <c r="K109" s="9" t="s">
        <v>160</v>
      </c>
      <c r="L109" s="9" t="s">
        <v>157</v>
      </c>
      <c r="M109" s="9" t="n">
        <f aca="false">IF($K109="","",MAX(0,ROUND((TIMEVALUE($K109)-TIMEVALUE($I109))*1440,0)))</f>
        <v>0</v>
      </c>
      <c r="N109" s="9" t="n">
        <f aca="false">IF($L109="","",MAX(0,ROUND((TIMEVALUE($J109)-TIMEVALUE($L109))*1440,0)))</f>
        <v>0</v>
      </c>
      <c r="O109" s="9" t="n">
        <f aca="false">IF(OR($K109="",$L109=""),0,ROUND(VLOOKUP($H109,DM_CA_LAM!$A$4:$F$6,6,FALSE())-$M109/60-$N109/60,2))</f>
        <v>8</v>
      </c>
      <c r="P109" s="9" t="s">
        <v>108</v>
      </c>
      <c r="Q109" s="9" t="n">
        <v>2</v>
      </c>
      <c r="R109" s="10" t="s">
        <v>184</v>
      </c>
      <c r="S109" s="10"/>
      <c r="T109" s="9" t="str">
        <f aca="false">$B109&amp;"_"&amp;TEXT($F109,"yyyymmdd")</f>
        <v>NV002_20260609</v>
      </c>
      <c r="U109" s="9" t="str">
        <f aca="false">VLOOKUP($P109,DM_TRANG_THAI!$A$4:$B$9,2,FALSE())</f>
        <v>P</v>
      </c>
    </row>
    <row r="110" customFormat="false" ht="15.75" hidden="false" customHeight="true" outlineLevel="0" collapsed="false">
      <c r="A110" s="9" t="n">
        <v>107</v>
      </c>
      <c r="B110" s="9" t="s">
        <v>30</v>
      </c>
      <c r="C110" s="10" t="str">
        <f aca="false">VLOOKUP($B110,DM_NHAN_VIEN!$B$4:$F$18,2,FALSE())</f>
        <v>Trần Thị Nhân Sự</v>
      </c>
      <c r="D110" s="9" t="str">
        <f aca="false">VLOOKUP($B110,DM_NHAN_VIEN!$B$4:$F$18,3,FALSE())</f>
        <v>Nhân sự</v>
      </c>
      <c r="E110" s="9" t="str">
        <f aca="false">VLOOKUP($B110,DM_NHAN_VIEN!$B$4:$F$18,4,FALSE())</f>
        <v>Trưởng phòng</v>
      </c>
      <c r="F110" s="18" t="n">
        <v>46182</v>
      </c>
      <c r="G110" s="9" t="str">
        <f aca="false">CHOOSE(WEEKDAY(F110,2),"Thứ Hai","Thứ Ba","Thứ Tư","Thứ Năm","Thứ Sáu","Thứ Bảy","Chủ Nhật")</f>
        <v>Thứ Ba</v>
      </c>
      <c r="H110" s="9" t="str">
        <f aca="false">VLOOKUP($B110,DM_NHAN_VIEN!$B$4:$F$18,5,FALSE())</f>
        <v>Ca Hành Chính</v>
      </c>
      <c r="I110" s="9" t="str">
        <f aca="false">VLOOKUP($H110,DM_CA_LAM!$A$4:$C$6,2,FALSE())</f>
        <v>07:30</v>
      </c>
      <c r="J110" s="9" t="str">
        <f aca="false">VLOOKUP($H110,DM_CA_LAM!$A$4:$C$6,3,FALSE())</f>
        <v>17:30</v>
      </c>
      <c r="K110" s="9" t="s">
        <v>92</v>
      </c>
      <c r="L110" s="9" t="s">
        <v>159</v>
      </c>
      <c r="M110" s="9" t="n">
        <f aca="false">IF($K110="","",MAX(0,ROUND((TIMEVALUE($K110)-TIMEVALUE($I110))*1440,0)))</f>
        <v>0</v>
      </c>
      <c r="N110" s="9" t="n">
        <f aca="false">IF($L110="","",MAX(0,ROUND((TIMEVALUE($J110)-TIMEVALUE($L110))*1440,0)))</f>
        <v>0</v>
      </c>
      <c r="O110" s="9" t="n">
        <f aca="false">IF(OR($K110="",$L110=""),0,ROUND(VLOOKUP($H110,DM_CA_LAM!$A$4:$F$6,6,FALSE())-$M110/60-$N110/60,2))</f>
        <v>8</v>
      </c>
      <c r="P110" s="9" t="s">
        <v>108</v>
      </c>
      <c r="Q110" s="9" t="n">
        <v>0</v>
      </c>
      <c r="R110" s="10"/>
      <c r="S110" s="10"/>
      <c r="T110" s="9" t="str">
        <f aca="false">$B110&amp;"_"&amp;TEXT($F110,"yyyymmdd")</f>
        <v>NV003_20260609</v>
      </c>
      <c r="U110" s="9" t="str">
        <f aca="false">VLOOKUP($P110,DM_TRANG_THAI!$A$4:$B$9,2,FALSE())</f>
        <v>P</v>
      </c>
    </row>
    <row r="111" customFormat="false" ht="15.75" hidden="false" customHeight="true" outlineLevel="0" collapsed="false">
      <c r="A111" s="9" t="n">
        <v>108</v>
      </c>
      <c r="B111" s="9" t="s">
        <v>35</v>
      </c>
      <c r="C111" s="10" t="str">
        <f aca="false">VLOOKUP($B111,DM_NHAN_VIEN!$B$4:$F$18,2,FALSE())</f>
        <v>Lê Văn Quản Đốc</v>
      </c>
      <c r="D111" s="9" t="str">
        <f aca="false">VLOOKUP($B111,DM_NHAN_VIEN!$B$4:$F$18,3,FALSE())</f>
        <v>Xưởng sản xuất</v>
      </c>
      <c r="E111" s="9" t="str">
        <f aca="false">VLOOKUP($B111,DM_NHAN_VIEN!$B$4:$F$18,4,FALSE())</f>
        <v>Quản đốc</v>
      </c>
      <c r="F111" s="18" t="n">
        <v>46182</v>
      </c>
      <c r="G111" s="9" t="str">
        <f aca="false">CHOOSE(WEEKDAY(F111,2),"Thứ Hai","Thứ Ba","Thứ Tư","Thứ Năm","Thứ Sáu","Thứ Bảy","Chủ Nhật")</f>
        <v>Thứ Ba</v>
      </c>
      <c r="H111" s="9" t="str">
        <f aca="false">VLOOKUP($B111,DM_NHAN_VIEN!$B$4:$F$18,5,FALSE())</f>
        <v>Ca Hành Chính</v>
      </c>
      <c r="I111" s="9" t="str">
        <f aca="false">VLOOKUP($H111,DM_CA_LAM!$A$4:$C$6,2,FALSE())</f>
        <v>07:30</v>
      </c>
      <c r="J111" s="9" t="str">
        <f aca="false">VLOOKUP($H111,DM_CA_LAM!$A$4:$C$6,3,FALSE())</f>
        <v>17:30</v>
      </c>
      <c r="K111" s="9" t="s">
        <v>142</v>
      </c>
      <c r="L111" s="9" t="s">
        <v>174</v>
      </c>
      <c r="M111" s="9" t="n">
        <f aca="false">IF($K111="","",MAX(0,ROUND((TIMEVALUE($K111)-TIMEVALUE($I111))*1440,0)))</f>
        <v>0</v>
      </c>
      <c r="N111" s="9" t="n">
        <f aca="false">IF($L111="","",MAX(0,ROUND((TIMEVALUE($J111)-TIMEVALUE($L111))*1440,0)))</f>
        <v>0</v>
      </c>
      <c r="O111" s="9" t="n">
        <f aca="false">IF(OR($K111="",$L111=""),0,ROUND(VLOOKUP($H111,DM_CA_LAM!$A$4:$F$6,6,FALSE())-$M111/60-$N111/60,2))</f>
        <v>8</v>
      </c>
      <c r="P111" s="9" t="s">
        <v>108</v>
      </c>
      <c r="Q111" s="9" t="n">
        <v>0</v>
      </c>
      <c r="R111" s="10"/>
      <c r="S111" s="10"/>
      <c r="T111" s="9" t="str">
        <f aca="false">$B111&amp;"_"&amp;TEXT($F111,"yyyymmdd")</f>
        <v>NV004_20260609</v>
      </c>
      <c r="U111" s="9" t="str">
        <f aca="false">VLOOKUP($P111,DM_TRANG_THAI!$A$4:$B$9,2,FALSE())</f>
        <v>P</v>
      </c>
    </row>
    <row r="112" customFormat="false" ht="15.75" hidden="false" customHeight="true" outlineLevel="0" collapsed="false">
      <c r="A112" s="9" t="n">
        <v>109</v>
      </c>
      <c r="B112" s="9" t="s">
        <v>40</v>
      </c>
      <c r="C112" s="10" t="str">
        <f aca="false">VLOOKUP($B112,DM_NHAN_VIEN!$B$4:$F$18,2,FALSE())</f>
        <v>Phạm Công Nhân</v>
      </c>
      <c r="D112" s="9" t="str">
        <f aca="false">VLOOKUP($B112,DM_NHAN_VIEN!$B$4:$F$18,3,FALSE())</f>
        <v>Xưởng sản xuất</v>
      </c>
      <c r="E112" s="9" t="str">
        <f aca="false">VLOOKUP($B112,DM_NHAN_VIEN!$B$4:$F$18,4,FALSE())</f>
        <v>Công nhân</v>
      </c>
      <c r="F112" s="18" t="n">
        <v>46182</v>
      </c>
      <c r="G112" s="9" t="str">
        <f aca="false">CHOOSE(WEEKDAY(F112,2),"Thứ Hai","Thứ Ba","Thứ Tư","Thứ Năm","Thứ Sáu","Thứ Bảy","Chủ Nhật")</f>
        <v>Thứ Ba</v>
      </c>
      <c r="H112" s="9" t="str">
        <f aca="false">VLOOKUP($B112,DM_NHAN_VIEN!$B$4:$F$18,5,FALSE())</f>
        <v>Ca Hành Chính</v>
      </c>
      <c r="I112" s="9" t="str">
        <f aca="false">VLOOKUP($H112,DM_CA_LAM!$A$4:$C$6,2,FALSE())</f>
        <v>07:30</v>
      </c>
      <c r="J112" s="9" t="str">
        <f aca="false">VLOOKUP($H112,DM_CA_LAM!$A$4:$C$6,3,FALSE())</f>
        <v>17:30</v>
      </c>
      <c r="K112" s="9" t="s">
        <v>161</v>
      </c>
      <c r="L112" s="9" t="s">
        <v>174</v>
      </c>
      <c r="M112" s="9" t="n">
        <f aca="false">IF($K112="","",MAX(0,ROUND((TIMEVALUE($K112)-TIMEVALUE($I112))*1440,0)))</f>
        <v>0</v>
      </c>
      <c r="N112" s="9" t="n">
        <f aca="false">IF($L112="","",MAX(0,ROUND((TIMEVALUE($J112)-TIMEVALUE($L112))*1440,0)))</f>
        <v>0</v>
      </c>
      <c r="O112" s="9" t="n">
        <f aca="false">IF(OR($K112="",$L112=""),0,ROUND(VLOOKUP($H112,DM_CA_LAM!$A$4:$F$6,6,FALSE())-$M112/60-$N112/60,2))</f>
        <v>8</v>
      </c>
      <c r="P112" s="9" t="s">
        <v>108</v>
      </c>
      <c r="Q112" s="9" t="n">
        <v>0</v>
      </c>
      <c r="R112" s="10"/>
      <c r="S112" s="10"/>
      <c r="T112" s="9" t="str">
        <f aca="false">$B112&amp;"_"&amp;TEXT($F112,"yyyymmdd")</f>
        <v>NV005_20260609</v>
      </c>
      <c r="U112" s="9" t="str">
        <f aca="false">VLOOKUP($P112,DM_TRANG_THAI!$A$4:$B$9,2,FALSE())</f>
        <v>P</v>
      </c>
    </row>
    <row r="113" customFormat="false" ht="15.75" hidden="false" customHeight="true" outlineLevel="0" collapsed="false">
      <c r="A113" s="9" t="n">
        <v>110</v>
      </c>
      <c r="B113" s="9" t="s">
        <v>44</v>
      </c>
      <c r="C113" s="10" t="str">
        <f aca="false">VLOOKUP($B113,DM_NHAN_VIEN!$B$4:$F$18,2,FALSE())</f>
        <v>Đỗ Thị Hà</v>
      </c>
      <c r="D113" s="9" t="str">
        <f aca="false">VLOOKUP($B113,DM_NHAN_VIEN!$B$4:$F$18,3,FALSE())</f>
        <v>Hành chính</v>
      </c>
      <c r="E113" s="9" t="str">
        <f aca="false">VLOOKUP($B113,DM_NHAN_VIEN!$B$4:$F$18,4,FALSE())</f>
        <v>Trưởng phòng</v>
      </c>
      <c r="F113" s="18" t="n">
        <v>46182</v>
      </c>
      <c r="G113" s="9" t="str">
        <f aca="false">CHOOSE(WEEKDAY(F113,2),"Thứ Hai","Thứ Ba","Thứ Tư","Thứ Năm","Thứ Sáu","Thứ Bảy","Chủ Nhật")</f>
        <v>Thứ Ba</v>
      </c>
      <c r="H113" s="9" t="str">
        <f aca="false">VLOOKUP($B113,DM_NHAN_VIEN!$B$4:$F$18,5,FALSE())</f>
        <v>Ca Hành Chính</v>
      </c>
      <c r="I113" s="9" t="str">
        <f aca="false">VLOOKUP($H113,DM_CA_LAM!$A$4:$C$6,2,FALSE())</f>
        <v>07:30</v>
      </c>
      <c r="J113" s="9" t="str">
        <f aca="false">VLOOKUP($H113,DM_CA_LAM!$A$4:$C$6,3,FALSE())</f>
        <v>17:30</v>
      </c>
      <c r="K113" s="9" t="s">
        <v>92</v>
      </c>
      <c r="L113" s="9" t="s">
        <v>146</v>
      </c>
      <c r="M113" s="9" t="n">
        <f aca="false">IF($K113="","",MAX(0,ROUND((TIMEVALUE($K113)-TIMEVALUE($I113))*1440,0)))</f>
        <v>0</v>
      </c>
      <c r="N113" s="9" t="n">
        <f aca="false">IF($L113="","",MAX(0,ROUND((TIMEVALUE($J113)-TIMEVALUE($L113))*1440,0)))</f>
        <v>0</v>
      </c>
      <c r="O113" s="9" t="n">
        <f aca="false">IF(OR($K113="",$L113=""),0,ROUND(VLOOKUP($H113,DM_CA_LAM!$A$4:$F$6,6,FALSE())-$M113/60-$N113/60,2))</f>
        <v>8</v>
      </c>
      <c r="P113" s="9" t="s">
        <v>108</v>
      </c>
      <c r="Q113" s="9" t="n">
        <v>0</v>
      </c>
      <c r="R113" s="10"/>
      <c r="S113" s="10"/>
      <c r="T113" s="9" t="str">
        <f aca="false">$B113&amp;"_"&amp;TEXT($F113,"yyyymmdd")</f>
        <v>NV006_20260609</v>
      </c>
      <c r="U113" s="9" t="str">
        <f aca="false">VLOOKUP($P113,DM_TRANG_THAI!$A$4:$B$9,2,FALSE())</f>
        <v>P</v>
      </c>
    </row>
    <row r="114" customFormat="false" ht="15.75" hidden="false" customHeight="true" outlineLevel="0" collapsed="false">
      <c r="A114" s="9" t="n">
        <v>111</v>
      </c>
      <c r="B114" s="9" t="s">
        <v>47</v>
      </c>
      <c r="C114" s="10" t="str">
        <f aca="false">VLOOKUP($B114,DM_NHAN_VIEN!$B$4:$F$18,2,FALSE())</f>
        <v>Ngô Văn Tài</v>
      </c>
      <c r="D114" s="9" t="str">
        <f aca="false">VLOOKUP($B114,DM_NHAN_VIEN!$B$4:$F$18,3,FALSE())</f>
        <v>Hành chính</v>
      </c>
      <c r="E114" s="9" t="str">
        <f aca="false">VLOOKUP($B114,DM_NHAN_VIEN!$B$4:$F$18,4,FALSE())</f>
        <v>Phó phòng</v>
      </c>
      <c r="F114" s="18" t="n">
        <v>46182</v>
      </c>
      <c r="G114" s="9" t="str">
        <f aca="false">CHOOSE(WEEKDAY(F114,2),"Thứ Hai","Thứ Ba","Thứ Tư","Thứ Năm","Thứ Sáu","Thứ Bảy","Chủ Nhật")</f>
        <v>Thứ Ba</v>
      </c>
      <c r="H114" s="9" t="str">
        <f aca="false">VLOOKUP($B114,DM_NHAN_VIEN!$B$4:$F$18,5,FALSE())</f>
        <v>Ca Hành Chính</v>
      </c>
      <c r="I114" s="9" t="str">
        <f aca="false">VLOOKUP($H114,DM_CA_LAM!$A$4:$C$6,2,FALSE())</f>
        <v>07:30</v>
      </c>
      <c r="J114" s="9" t="str">
        <f aca="false">VLOOKUP($H114,DM_CA_LAM!$A$4:$C$6,3,FALSE())</f>
        <v>17:30</v>
      </c>
      <c r="K114" s="9"/>
      <c r="L114" s="9"/>
      <c r="M114" s="9" t="str">
        <f aca="false">IF($K114="","",MAX(0,ROUND((TIMEVALUE($K114)-TIMEVALUE($I114))*1440,0)))</f>
        <v/>
      </c>
      <c r="N114" s="9" t="str">
        <f aca="false">IF($L114="","",MAX(0,ROUND((TIMEVALUE($J114)-TIMEVALUE($L114))*1440,0)))</f>
        <v/>
      </c>
      <c r="O114" s="9" t="n">
        <f aca="false">IF(OR($K114="",$L114=""),0,ROUND(VLOOKUP($H114,DM_CA_LAM!$A$4:$F$6,6,FALSE())-$M114/60-$N114/60,2))</f>
        <v>0</v>
      </c>
      <c r="P114" s="9" t="s">
        <v>114</v>
      </c>
      <c r="Q114" s="9" t="n">
        <v>0</v>
      </c>
      <c r="R114" s="10"/>
      <c r="S114" s="10"/>
      <c r="T114" s="9" t="str">
        <f aca="false">$B114&amp;"_"&amp;TEXT($F114,"yyyymmdd")</f>
        <v>NV007_20260609</v>
      </c>
      <c r="U114" s="9" t="str">
        <f aca="false">VLOOKUP($P114,DM_TRANG_THAI!$A$4:$B$9,2,FALSE())</f>
        <v>A</v>
      </c>
    </row>
    <row r="115" customFormat="false" ht="15.75" hidden="false" customHeight="true" outlineLevel="0" collapsed="false">
      <c r="A115" s="9" t="n">
        <v>112</v>
      </c>
      <c r="B115" s="9" t="s">
        <v>51</v>
      </c>
      <c r="C115" s="10" t="str">
        <f aca="false">VLOOKUP($B115,DM_NHAN_VIEN!$B$4:$F$18,2,FALSE())</f>
        <v>Vũ Thị Nga</v>
      </c>
      <c r="D115" s="9" t="str">
        <f aca="false">VLOOKUP($B115,DM_NHAN_VIEN!$B$4:$F$18,3,FALSE())</f>
        <v>Hành chính</v>
      </c>
      <c r="E115" s="9" t="str">
        <f aca="false">VLOOKUP($B115,DM_NHAN_VIEN!$B$4:$F$18,4,FALSE())</f>
        <v>Chuyên viên</v>
      </c>
      <c r="F115" s="18" t="n">
        <v>46182</v>
      </c>
      <c r="G115" s="9" t="str">
        <f aca="false">CHOOSE(WEEKDAY(F115,2),"Thứ Hai","Thứ Ba","Thứ Tư","Thứ Năm","Thứ Sáu","Thứ Bảy","Chủ Nhật")</f>
        <v>Thứ Ba</v>
      </c>
      <c r="H115" s="9" t="str">
        <f aca="false">VLOOKUP($B115,DM_NHAN_VIEN!$B$4:$F$18,5,FALSE())</f>
        <v>Ca Hành Chính</v>
      </c>
      <c r="I115" s="9" t="str">
        <f aca="false">VLOOKUP($H115,DM_CA_LAM!$A$4:$C$6,2,FALSE())</f>
        <v>07:30</v>
      </c>
      <c r="J115" s="9" t="str">
        <f aca="false">VLOOKUP($H115,DM_CA_LAM!$A$4:$C$6,3,FALSE())</f>
        <v>17:30</v>
      </c>
      <c r="K115" s="9" t="s">
        <v>161</v>
      </c>
      <c r="L115" s="9" t="s">
        <v>93</v>
      </c>
      <c r="M115" s="9" t="n">
        <f aca="false">IF($K115="","",MAX(0,ROUND((TIMEVALUE($K115)-TIMEVALUE($I115))*1440,0)))</f>
        <v>0</v>
      </c>
      <c r="N115" s="9" t="n">
        <f aca="false">IF($L115="","",MAX(0,ROUND((TIMEVALUE($J115)-TIMEVALUE($L115))*1440,0)))</f>
        <v>0</v>
      </c>
      <c r="O115" s="9" t="n">
        <f aca="false">IF(OR($K115="",$L115=""),0,ROUND(VLOOKUP($H115,DM_CA_LAM!$A$4:$F$6,6,FALSE())-$M115/60-$N115/60,2))</f>
        <v>8</v>
      </c>
      <c r="P115" s="9" t="s">
        <v>108</v>
      </c>
      <c r="Q115" s="9" t="n">
        <v>0</v>
      </c>
      <c r="R115" s="10"/>
      <c r="S115" s="10"/>
      <c r="T115" s="9" t="str">
        <f aca="false">$B115&amp;"_"&amp;TEXT($F115,"yyyymmdd")</f>
        <v>NV008_20260609</v>
      </c>
      <c r="U115" s="9" t="str">
        <f aca="false">VLOOKUP($P115,DM_TRANG_THAI!$A$4:$B$9,2,FALSE())</f>
        <v>P</v>
      </c>
    </row>
    <row r="116" customFormat="false" ht="15.75" hidden="false" customHeight="true" outlineLevel="0" collapsed="false">
      <c r="A116" s="9" t="n">
        <v>113</v>
      </c>
      <c r="B116" s="9" t="s">
        <v>55</v>
      </c>
      <c r="C116" s="10" t="str">
        <f aca="false">VLOOKUP($B116,DM_NHAN_VIEN!$B$4:$F$18,2,FALSE())</f>
        <v>Đặng Thị Hồng</v>
      </c>
      <c r="D116" s="9" t="str">
        <f aca="false">VLOOKUP($B116,DM_NHAN_VIEN!$B$4:$F$18,3,FALSE())</f>
        <v>Nhân sự</v>
      </c>
      <c r="E116" s="9" t="str">
        <f aca="false">VLOOKUP($B116,DM_NHAN_VIEN!$B$4:$F$18,4,FALSE())</f>
        <v>Chuyên viên</v>
      </c>
      <c r="F116" s="18" t="n">
        <v>46182</v>
      </c>
      <c r="G116" s="9" t="str">
        <f aca="false">CHOOSE(WEEKDAY(F116,2),"Thứ Hai","Thứ Ba","Thứ Tư","Thứ Năm","Thứ Sáu","Thứ Bảy","Chủ Nhật")</f>
        <v>Thứ Ba</v>
      </c>
      <c r="H116" s="9" t="str">
        <f aca="false">VLOOKUP($B116,DM_NHAN_VIEN!$B$4:$F$18,5,FALSE())</f>
        <v>Ca Hành Chính</v>
      </c>
      <c r="I116" s="9" t="str">
        <f aca="false">VLOOKUP($H116,DM_CA_LAM!$A$4:$C$6,2,FALSE())</f>
        <v>07:30</v>
      </c>
      <c r="J116" s="9" t="str">
        <f aca="false">VLOOKUP($H116,DM_CA_LAM!$A$4:$C$6,3,FALSE())</f>
        <v>17:30</v>
      </c>
      <c r="K116" s="9" t="s">
        <v>145</v>
      </c>
      <c r="L116" s="9" t="s">
        <v>170</v>
      </c>
      <c r="M116" s="9" t="n">
        <f aca="false">IF($K116="","",MAX(0,ROUND((TIMEVALUE($K116)-TIMEVALUE($I116))*1440,0)))</f>
        <v>0</v>
      </c>
      <c r="N116" s="9" t="n">
        <f aca="false">IF($L116="","",MAX(0,ROUND((TIMEVALUE($J116)-TIMEVALUE($L116))*1440,0)))</f>
        <v>0</v>
      </c>
      <c r="O116" s="9" t="n">
        <f aca="false">IF(OR($K116="",$L116=""),0,ROUND(VLOOKUP($H116,DM_CA_LAM!$A$4:$F$6,6,FALSE())-$M116/60-$N116/60,2))</f>
        <v>8</v>
      </c>
      <c r="P116" s="9" t="s">
        <v>108</v>
      </c>
      <c r="Q116" s="9" t="n">
        <v>0</v>
      </c>
      <c r="R116" s="10"/>
      <c r="S116" s="10"/>
      <c r="T116" s="9" t="str">
        <f aca="false">$B116&amp;"_"&amp;TEXT($F116,"yyyymmdd")</f>
        <v>NV010_20260609</v>
      </c>
      <c r="U116" s="9" t="str">
        <f aca="false">VLOOKUP($P116,DM_TRANG_THAI!$A$4:$B$9,2,FALSE())</f>
        <v>P</v>
      </c>
    </row>
    <row r="117" customFormat="false" ht="15.75" hidden="false" customHeight="true" outlineLevel="0" collapsed="false">
      <c r="A117" s="9" t="n">
        <v>114</v>
      </c>
      <c r="B117" s="9" t="s">
        <v>58</v>
      </c>
      <c r="C117" s="10" t="str">
        <f aca="false">VLOOKUP($B117,DM_NHAN_VIEN!$B$4:$F$18,2,FALSE())</f>
        <v>Chu Văn Minh</v>
      </c>
      <c r="D117" s="9" t="str">
        <f aca="false">VLOOKUP($B117,DM_NHAN_VIEN!$B$4:$F$18,3,FALSE())</f>
        <v>Nhân sự</v>
      </c>
      <c r="E117" s="9" t="str">
        <f aca="false">VLOOKUP($B117,DM_NHAN_VIEN!$B$4:$F$18,4,FALSE())</f>
        <v>Chuyên viên</v>
      </c>
      <c r="F117" s="18" t="n">
        <v>46182</v>
      </c>
      <c r="G117" s="9" t="str">
        <f aca="false">CHOOSE(WEEKDAY(F117,2),"Thứ Hai","Thứ Ba","Thứ Tư","Thứ Năm","Thứ Sáu","Thứ Bảy","Chủ Nhật")</f>
        <v>Thứ Ba</v>
      </c>
      <c r="H117" s="9" t="str">
        <f aca="false">VLOOKUP($B117,DM_NHAN_VIEN!$B$4:$F$18,5,FALSE())</f>
        <v>Ca Hành Chính</v>
      </c>
      <c r="I117" s="9" t="str">
        <f aca="false">VLOOKUP($H117,DM_CA_LAM!$A$4:$C$6,2,FALSE())</f>
        <v>07:30</v>
      </c>
      <c r="J117" s="9" t="str">
        <f aca="false">VLOOKUP($H117,DM_CA_LAM!$A$4:$C$6,3,FALSE())</f>
        <v>17:30</v>
      </c>
      <c r="K117" s="9" t="s">
        <v>150</v>
      </c>
      <c r="L117" s="9" t="s">
        <v>165</v>
      </c>
      <c r="M117" s="9" t="n">
        <f aca="false">IF($K117="","",MAX(0,ROUND((TIMEVALUE($K117)-TIMEVALUE($I117))*1440,0)))</f>
        <v>0</v>
      </c>
      <c r="N117" s="9" t="n">
        <f aca="false">IF($L117="","",MAX(0,ROUND((TIMEVALUE($J117)-TIMEVALUE($L117))*1440,0)))</f>
        <v>0</v>
      </c>
      <c r="O117" s="9" t="n">
        <f aca="false">IF(OR($K117="",$L117=""),0,ROUND(VLOOKUP($H117,DM_CA_LAM!$A$4:$F$6,6,FALSE())-$M117/60-$N117/60,2))</f>
        <v>8</v>
      </c>
      <c r="P117" s="9" t="s">
        <v>108</v>
      </c>
      <c r="Q117" s="9" t="n">
        <v>0</v>
      </c>
      <c r="R117" s="10"/>
      <c r="S117" s="10"/>
      <c r="T117" s="9" t="str">
        <f aca="false">$B117&amp;"_"&amp;TEXT($F117,"yyyymmdd")</f>
        <v>NV011_20260609</v>
      </c>
      <c r="U117" s="9" t="str">
        <f aca="false">VLOOKUP($P117,DM_TRANG_THAI!$A$4:$B$9,2,FALSE())</f>
        <v>P</v>
      </c>
    </row>
    <row r="118" customFormat="false" ht="15.75" hidden="false" customHeight="true" outlineLevel="0" collapsed="false">
      <c r="A118" s="9" t="n">
        <v>115</v>
      </c>
      <c r="B118" s="9" t="s">
        <v>61</v>
      </c>
      <c r="C118" s="10" t="str">
        <f aca="false">VLOOKUP($B118,DM_NHAN_VIEN!$B$4:$F$18,2,FALSE())</f>
        <v>Phan Thị Khánh</v>
      </c>
      <c r="D118" s="9" t="str">
        <f aca="false">VLOOKUP($B118,DM_NHAN_VIEN!$B$4:$F$18,3,FALSE())</f>
        <v>Kế toán</v>
      </c>
      <c r="E118" s="9" t="str">
        <f aca="false">VLOOKUP($B118,DM_NHAN_VIEN!$B$4:$F$18,4,FALSE())</f>
        <v>Trưởng phòng</v>
      </c>
      <c r="F118" s="18" t="n">
        <v>46182</v>
      </c>
      <c r="G118" s="9" t="str">
        <f aca="false">CHOOSE(WEEKDAY(F118,2),"Thứ Hai","Thứ Ba","Thứ Tư","Thứ Năm","Thứ Sáu","Thứ Bảy","Chủ Nhật")</f>
        <v>Thứ Ba</v>
      </c>
      <c r="H118" s="9" t="str">
        <f aca="false">VLOOKUP($B118,DM_NHAN_VIEN!$B$4:$F$18,5,FALSE())</f>
        <v>Ca Hành Chính</v>
      </c>
      <c r="I118" s="9" t="str">
        <f aca="false">VLOOKUP($H118,DM_CA_LAM!$A$4:$C$6,2,FALSE())</f>
        <v>07:30</v>
      </c>
      <c r="J118" s="9" t="str">
        <f aca="false">VLOOKUP($H118,DM_CA_LAM!$A$4:$C$6,3,FALSE())</f>
        <v>17:30</v>
      </c>
      <c r="K118" s="9" t="s">
        <v>145</v>
      </c>
      <c r="L118" s="9" t="s">
        <v>174</v>
      </c>
      <c r="M118" s="9" t="n">
        <f aca="false">IF($K118="","",MAX(0,ROUND((TIMEVALUE($K118)-TIMEVALUE($I118))*1440,0)))</f>
        <v>0</v>
      </c>
      <c r="N118" s="9" t="n">
        <f aca="false">IF($L118="","",MAX(0,ROUND((TIMEVALUE($J118)-TIMEVALUE($L118))*1440,0)))</f>
        <v>0</v>
      </c>
      <c r="O118" s="9" t="n">
        <f aca="false">IF(OR($K118="",$L118=""),0,ROUND(VLOOKUP($H118,DM_CA_LAM!$A$4:$F$6,6,FALSE())-$M118/60-$N118/60,2))</f>
        <v>8</v>
      </c>
      <c r="P118" s="9" t="s">
        <v>108</v>
      </c>
      <c r="Q118" s="9" t="n">
        <v>0</v>
      </c>
      <c r="R118" s="10"/>
      <c r="S118" s="10"/>
      <c r="T118" s="9" t="str">
        <f aca="false">$B118&amp;"_"&amp;TEXT($F118,"yyyymmdd")</f>
        <v>NV014_20260609</v>
      </c>
      <c r="U118" s="9" t="str">
        <f aca="false">VLOOKUP($P118,DM_TRANG_THAI!$A$4:$B$9,2,FALSE())</f>
        <v>P</v>
      </c>
    </row>
    <row r="119" customFormat="false" ht="15.75" hidden="false" customHeight="true" outlineLevel="0" collapsed="false">
      <c r="A119" s="9" t="n">
        <v>116</v>
      </c>
      <c r="B119" s="9" t="s">
        <v>65</v>
      </c>
      <c r="C119" s="10" t="str">
        <f aca="false">VLOOKUP($B119,DM_NHAN_VIEN!$B$4:$F$18,2,FALSE())</f>
        <v>Trịnh Văn Hùng</v>
      </c>
      <c r="D119" s="9" t="str">
        <f aca="false">VLOOKUP($B119,DM_NHAN_VIEN!$B$4:$F$18,3,FALSE())</f>
        <v>Kế toán</v>
      </c>
      <c r="E119" s="9" t="str">
        <f aca="false">VLOOKUP($B119,DM_NHAN_VIEN!$B$4:$F$18,4,FALSE())</f>
        <v>Phó phòng</v>
      </c>
      <c r="F119" s="18" t="n">
        <v>46182</v>
      </c>
      <c r="G119" s="9" t="str">
        <f aca="false">CHOOSE(WEEKDAY(F119,2),"Thứ Hai","Thứ Ba","Thứ Tư","Thứ Năm","Thứ Sáu","Thứ Bảy","Chủ Nhật")</f>
        <v>Thứ Ba</v>
      </c>
      <c r="H119" s="9" t="str">
        <f aca="false">VLOOKUP($B119,DM_NHAN_VIEN!$B$4:$F$18,5,FALSE())</f>
        <v>Ca Hành Chính</v>
      </c>
      <c r="I119" s="9" t="str">
        <f aca="false">VLOOKUP($H119,DM_CA_LAM!$A$4:$C$6,2,FALSE())</f>
        <v>07:30</v>
      </c>
      <c r="J119" s="9" t="str">
        <f aca="false">VLOOKUP($H119,DM_CA_LAM!$A$4:$C$6,3,FALSE())</f>
        <v>17:30</v>
      </c>
      <c r="K119" s="9"/>
      <c r="L119" s="9"/>
      <c r="M119" s="9" t="str">
        <f aca="false">IF($K119="","",MAX(0,ROUND((TIMEVALUE($K119)-TIMEVALUE($I119))*1440,0)))</f>
        <v/>
      </c>
      <c r="N119" s="9" t="str">
        <f aca="false">IF($L119="","",MAX(0,ROUND((TIMEVALUE($J119)-TIMEVALUE($L119))*1440,0)))</f>
        <v/>
      </c>
      <c r="O119" s="9" t="n">
        <f aca="false">IF(OR($K119="",$L119=""),0,ROUND(VLOOKUP($H119,DM_CA_LAM!$A$4:$F$6,6,FALSE())-$M119/60-$N119/60,2))</f>
        <v>0</v>
      </c>
      <c r="P119" s="9" t="s">
        <v>117</v>
      </c>
      <c r="Q119" s="9" t="n">
        <v>0</v>
      </c>
      <c r="R119" s="10"/>
      <c r="S119" s="10"/>
      <c r="T119" s="9" t="str">
        <f aca="false">$B119&amp;"_"&amp;TEXT($F119,"yyyymmdd")</f>
        <v>NV015_20260609</v>
      </c>
      <c r="U119" s="9" t="str">
        <f aca="false">VLOOKUP($P119,DM_TRANG_THAI!$A$4:$B$9,2,FALSE())</f>
        <v>NP</v>
      </c>
    </row>
    <row r="120" customFormat="false" ht="15.75" hidden="false" customHeight="true" outlineLevel="0" collapsed="false">
      <c r="A120" s="9" t="n">
        <v>117</v>
      </c>
      <c r="B120" s="9" t="s">
        <v>68</v>
      </c>
      <c r="C120" s="10" t="str">
        <f aca="false">VLOOKUP($B120,DM_NHAN_VIEN!$B$4:$F$18,2,FALSE())</f>
        <v>Hoàng Văn Lộc</v>
      </c>
      <c r="D120" s="9" t="str">
        <f aca="false">VLOOKUP($B120,DM_NHAN_VIEN!$B$4:$F$18,3,FALSE())</f>
        <v>Kinh doanh</v>
      </c>
      <c r="E120" s="9" t="str">
        <f aca="false">VLOOKUP($B120,DM_NHAN_VIEN!$B$4:$F$18,4,FALSE())</f>
        <v>Trưởng phòng</v>
      </c>
      <c r="F120" s="18" t="n">
        <v>46182</v>
      </c>
      <c r="G120" s="9" t="str">
        <f aca="false">CHOOSE(WEEKDAY(F120,2),"Thứ Hai","Thứ Ba","Thứ Tư","Thứ Năm","Thứ Sáu","Thứ Bảy","Chủ Nhật")</f>
        <v>Thứ Ba</v>
      </c>
      <c r="H120" s="9" t="str">
        <f aca="false">VLOOKUP($B120,DM_NHAN_VIEN!$B$4:$F$18,5,FALSE())</f>
        <v>Ca Hành Chính</v>
      </c>
      <c r="I120" s="9" t="str">
        <f aca="false">VLOOKUP($H120,DM_CA_LAM!$A$4:$C$6,2,FALSE())</f>
        <v>07:30</v>
      </c>
      <c r="J120" s="9" t="str">
        <f aca="false">VLOOKUP($H120,DM_CA_LAM!$A$4:$C$6,3,FALSE())</f>
        <v>17:30</v>
      </c>
      <c r="K120" s="9" t="s">
        <v>160</v>
      </c>
      <c r="L120" s="9" t="s">
        <v>146</v>
      </c>
      <c r="M120" s="9" t="n">
        <f aca="false">IF($K120="","",MAX(0,ROUND((TIMEVALUE($K120)-TIMEVALUE($I120))*1440,0)))</f>
        <v>0</v>
      </c>
      <c r="N120" s="9" t="n">
        <f aca="false">IF($L120="","",MAX(0,ROUND((TIMEVALUE($J120)-TIMEVALUE($L120))*1440,0)))</f>
        <v>0</v>
      </c>
      <c r="O120" s="9" t="n">
        <f aca="false">IF(OR($K120="",$L120=""),0,ROUND(VLOOKUP($H120,DM_CA_LAM!$A$4:$F$6,6,FALSE())-$M120/60-$N120/60,2))</f>
        <v>8</v>
      </c>
      <c r="P120" s="9" t="s">
        <v>108</v>
      </c>
      <c r="Q120" s="9" t="n">
        <v>0</v>
      </c>
      <c r="R120" s="10"/>
      <c r="S120" s="10"/>
      <c r="T120" s="9" t="str">
        <f aca="false">$B120&amp;"_"&amp;TEXT($F120,"yyyymmdd")</f>
        <v>NV019_20260609</v>
      </c>
      <c r="U120" s="9" t="str">
        <f aca="false">VLOOKUP($P120,DM_TRANG_THAI!$A$4:$B$9,2,FALSE())</f>
        <v>P</v>
      </c>
    </row>
    <row r="121" customFormat="false" ht="15.75" hidden="false" customHeight="true" outlineLevel="0" collapsed="false">
      <c r="A121" s="9" t="n">
        <v>118</v>
      </c>
      <c r="B121" s="9" t="s">
        <v>72</v>
      </c>
      <c r="C121" s="10" t="str">
        <f aca="false">VLOOKUP($B121,DM_NHAN_VIEN!$B$4:$F$18,2,FALSE())</f>
        <v>Nguyễn Văn Phú</v>
      </c>
      <c r="D121" s="9" t="str">
        <f aca="false">VLOOKUP($B121,DM_NHAN_VIEN!$B$4:$F$18,3,FALSE())</f>
        <v>Kinh doanh</v>
      </c>
      <c r="E121" s="9" t="str">
        <f aca="false">VLOOKUP($B121,DM_NHAN_VIEN!$B$4:$F$18,4,FALSE())</f>
        <v>Nhân viên</v>
      </c>
      <c r="F121" s="18" t="n">
        <v>46182</v>
      </c>
      <c r="G121" s="9" t="str">
        <f aca="false">CHOOSE(WEEKDAY(F121,2),"Thứ Hai","Thứ Ba","Thứ Tư","Thứ Năm","Thứ Sáu","Thứ Bảy","Chủ Nhật")</f>
        <v>Thứ Ba</v>
      </c>
      <c r="H121" s="9" t="str">
        <f aca="false">VLOOKUP($B121,DM_NHAN_VIEN!$B$4:$F$18,5,FALSE())</f>
        <v>Ca Hành Chính</v>
      </c>
      <c r="I121" s="9" t="str">
        <f aca="false">VLOOKUP($H121,DM_CA_LAM!$A$4:$C$6,2,FALSE())</f>
        <v>07:30</v>
      </c>
      <c r="J121" s="9" t="str">
        <f aca="false">VLOOKUP($H121,DM_CA_LAM!$A$4:$C$6,3,FALSE())</f>
        <v>17:30</v>
      </c>
      <c r="K121" s="9" t="s">
        <v>156</v>
      </c>
      <c r="L121" s="9" t="s">
        <v>159</v>
      </c>
      <c r="M121" s="9" t="n">
        <f aca="false">IF($K121="","",MAX(0,ROUND((TIMEVALUE($K121)-TIMEVALUE($I121))*1440,0)))</f>
        <v>0</v>
      </c>
      <c r="N121" s="9" t="n">
        <f aca="false">IF($L121="","",MAX(0,ROUND((TIMEVALUE($J121)-TIMEVALUE($L121))*1440,0)))</f>
        <v>0</v>
      </c>
      <c r="O121" s="9" t="n">
        <f aca="false">IF(OR($K121="",$L121=""),0,ROUND(VLOOKUP($H121,DM_CA_LAM!$A$4:$F$6,6,FALSE())-$M121/60-$N121/60,2))</f>
        <v>8</v>
      </c>
      <c r="P121" s="9" t="s">
        <v>108</v>
      </c>
      <c r="Q121" s="9" t="n">
        <v>0</v>
      </c>
      <c r="R121" s="10"/>
      <c r="S121" s="10"/>
      <c r="T121" s="9" t="str">
        <f aca="false">$B121&amp;"_"&amp;TEXT($F121,"yyyymmdd")</f>
        <v>NV021_20260609</v>
      </c>
      <c r="U121" s="9" t="str">
        <f aca="false">VLOOKUP($P121,DM_TRANG_THAI!$A$4:$B$9,2,FALSE())</f>
        <v>P</v>
      </c>
    </row>
    <row r="122" customFormat="false" ht="15.75" hidden="false" customHeight="true" outlineLevel="0" collapsed="false">
      <c r="A122" s="9" t="n">
        <v>119</v>
      </c>
      <c r="B122" s="9" t="s">
        <v>76</v>
      </c>
      <c r="C122" s="10" t="str">
        <f aca="false">VLOOKUP($B122,DM_NHAN_VIEN!$B$4:$F$18,2,FALSE())</f>
        <v>Lý Văn Dũng</v>
      </c>
      <c r="D122" s="9" t="str">
        <f aca="false">VLOOKUP($B122,DM_NHAN_VIEN!$B$4:$F$18,3,FALSE())</f>
        <v>Xưởng sản xuất</v>
      </c>
      <c r="E122" s="9" t="str">
        <f aca="false">VLOOKUP($B122,DM_NHAN_VIEN!$B$4:$F$18,4,FALSE())</f>
        <v>Tổ trưởng</v>
      </c>
      <c r="F122" s="18" t="n">
        <v>46182</v>
      </c>
      <c r="G122" s="9" t="str">
        <f aca="false">CHOOSE(WEEKDAY(F122,2),"Thứ Hai","Thứ Ba","Thứ Tư","Thứ Năm","Thứ Sáu","Thứ Bảy","Chủ Nhật")</f>
        <v>Thứ Ba</v>
      </c>
      <c r="H122" s="9" t="str">
        <f aca="false">VLOOKUP($B122,DM_NHAN_VIEN!$B$4:$F$18,5,FALSE())</f>
        <v>Ca Hành Chính</v>
      </c>
      <c r="I122" s="9" t="str">
        <f aca="false">VLOOKUP($H122,DM_CA_LAM!$A$4:$C$6,2,FALSE())</f>
        <v>07:30</v>
      </c>
      <c r="J122" s="9" t="str">
        <f aca="false">VLOOKUP($H122,DM_CA_LAM!$A$4:$C$6,3,FALSE())</f>
        <v>17:30</v>
      </c>
      <c r="K122" s="9" t="s">
        <v>158</v>
      </c>
      <c r="L122" s="9" t="s">
        <v>164</v>
      </c>
      <c r="M122" s="9" t="n">
        <f aca="false">IF($K122="","",MAX(0,ROUND((TIMEVALUE($K122)-TIMEVALUE($I122))*1440,0)))</f>
        <v>0</v>
      </c>
      <c r="N122" s="9" t="n">
        <f aca="false">IF($L122="","",MAX(0,ROUND((TIMEVALUE($J122)-TIMEVALUE($L122))*1440,0)))</f>
        <v>0</v>
      </c>
      <c r="O122" s="9" t="n">
        <f aca="false">IF(OR($K122="",$L122=""),0,ROUND(VLOOKUP($H122,DM_CA_LAM!$A$4:$F$6,6,FALSE())-$M122/60-$N122/60,2))</f>
        <v>8</v>
      </c>
      <c r="P122" s="9" t="s">
        <v>108</v>
      </c>
      <c r="Q122" s="9" t="n">
        <v>0</v>
      </c>
      <c r="R122" s="10"/>
      <c r="S122" s="10"/>
      <c r="T122" s="9" t="str">
        <f aca="false">$B122&amp;"_"&amp;TEXT($F122,"yyyymmdd")</f>
        <v>NV029_20260609</v>
      </c>
      <c r="U122" s="9" t="str">
        <f aca="false">VLOOKUP($P122,DM_TRANG_THAI!$A$4:$B$9,2,FALSE())</f>
        <v>P</v>
      </c>
    </row>
    <row r="123" customFormat="false" ht="15.75" hidden="false" customHeight="true" outlineLevel="0" collapsed="false">
      <c r="A123" s="9" t="n">
        <v>120</v>
      </c>
      <c r="B123" s="9" t="s">
        <v>80</v>
      </c>
      <c r="C123" s="10" t="str">
        <f aca="false">VLOOKUP($B123,DM_NHAN_VIEN!$B$4:$F$18,2,FALSE())</f>
        <v>Tống Văn Thắng</v>
      </c>
      <c r="D123" s="9" t="str">
        <f aca="false">VLOOKUP($B123,DM_NHAN_VIEN!$B$4:$F$18,3,FALSE())</f>
        <v>Xưởng sản xuất</v>
      </c>
      <c r="E123" s="9" t="str">
        <f aca="false">VLOOKUP($B123,DM_NHAN_VIEN!$B$4:$F$18,4,FALSE())</f>
        <v>Tổ trưởng</v>
      </c>
      <c r="F123" s="18" t="n">
        <v>46182</v>
      </c>
      <c r="G123" s="9" t="str">
        <f aca="false">CHOOSE(WEEKDAY(F123,2),"Thứ Hai","Thứ Ba","Thứ Tư","Thứ Năm","Thứ Sáu","Thứ Bảy","Chủ Nhật")</f>
        <v>Thứ Ba</v>
      </c>
      <c r="H123" s="9" t="str">
        <f aca="false">VLOOKUP($B123,DM_NHAN_VIEN!$B$4:$F$18,5,FALSE())</f>
        <v>Ca Hành Chính</v>
      </c>
      <c r="I123" s="9" t="str">
        <f aca="false">VLOOKUP($H123,DM_CA_LAM!$A$4:$C$6,2,FALSE())</f>
        <v>07:30</v>
      </c>
      <c r="J123" s="9" t="str">
        <f aca="false">VLOOKUP($H123,DM_CA_LAM!$A$4:$C$6,3,FALSE())</f>
        <v>17:30</v>
      </c>
      <c r="K123" s="9" t="s">
        <v>145</v>
      </c>
      <c r="L123" s="9" t="s">
        <v>183</v>
      </c>
      <c r="M123" s="9" t="n">
        <f aca="false">IF($K123="","",MAX(0,ROUND((TIMEVALUE($K123)-TIMEVALUE($I123))*1440,0)))</f>
        <v>0</v>
      </c>
      <c r="N123" s="9" t="n">
        <f aca="false">IF($L123="","",MAX(0,ROUND((TIMEVALUE($J123)-TIMEVALUE($L123))*1440,0)))</f>
        <v>0</v>
      </c>
      <c r="O123" s="9" t="n">
        <f aca="false">IF(OR($K123="",$L123=""),0,ROUND(VLOOKUP($H123,DM_CA_LAM!$A$4:$F$6,6,FALSE())-$M123/60-$N123/60,2))</f>
        <v>8</v>
      </c>
      <c r="P123" s="9" t="s">
        <v>108</v>
      </c>
      <c r="Q123" s="9" t="n">
        <v>0</v>
      </c>
      <c r="R123" s="10"/>
      <c r="S123" s="10"/>
      <c r="T123" s="9" t="str">
        <f aca="false">$B123&amp;"_"&amp;TEXT($F123,"yyyymmdd")</f>
        <v>NV030_20260609</v>
      </c>
      <c r="U123" s="9" t="str">
        <f aca="false">VLOOKUP($P123,DM_TRANG_THAI!$A$4:$B$9,2,FALSE())</f>
        <v>P</v>
      </c>
    </row>
    <row r="124" customFormat="false" ht="15.75" hidden="false" customHeight="true" outlineLevel="0" collapsed="false">
      <c r="A124" s="9" t="n">
        <v>121</v>
      </c>
      <c r="B124" s="9" t="s">
        <v>24</v>
      </c>
      <c r="C124" s="10" t="str">
        <f aca="false">VLOOKUP($B124,DM_NHAN_VIEN!$B$4:$F$18,2,FALSE())</f>
        <v>Nguyễn Văn Giám Đốc</v>
      </c>
      <c r="D124" s="9" t="str">
        <f aca="false">VLOOKUP($B124,DM_NHAN_VIEN!$B$4:$F$18,3,FALSE())</f>
        <v>Hành chính</v>
      </c>
      <c r="E124" s="9" t="str">
        <f aca="false">VLOOKUP($B124,DM_NHAN_VIEN!$B$4:$F$18,4,FALSE())</f>
        <v>Giám đốc</v>
      </c>
      <c r="F124" s="18" t="n">
        <v>46183</v>
      </c>
      <c r="G124" s="9" t="str">
        <f aca="false">CHOOSE(WEEKDAY(F124,2),"Thứ Hai","Thứ Ba","Thứ Tư","Thứ Năm","Thứ Sáu","Thứ Bảy","Chủ Nhật")</f>
        <v>Thứ Tư</v>
      </c>
      <c r="H124" s="9" t="str">
        <f aca="false">VLOOKUP($B124,DM_NHAN_VIEN!$B$4:$F$18,5,FALSE())</f>
        <v>Ca Hành Chính</v>
      </c>
      <c r="I124" s="9" t="str">
        <f aca="false">VLOOKUP($H124,DM_CA_LAM!$A$4:$C$6,2,FALSE())</f>
        <v>07:30</v>
      </c>
      <c r="J124" s="9" t="str">
        <f aca="false">VLOOKUP($H124,DM_CA_LAM!$A$4:$C$6,3,FALSE())</f>
        <v>17:30</v>
      </c>
      <c r="K124" s="9" t="s">
        <v>142</v>
      </c>
      <c r="L124" s="9" t="s">
        <v>170</v>
      </c>
      <c r="M124" s="9" t="n">
        <f aca="false">IF($K124="","",MAX(0,ROUND((TIMEVALUE($K124)-TIMEVALUE($I124))*1440,0)))</f>
        <v>0</v>
      </c>
      <c r="N124" s="9" t="n">
        <f aca="false">IF($L124="","",MAX(0,ROUND((TIMEVALUE($J124)-TIMEVALUE($L124))*1440,0)))</f>
        <v>0</v>
      </c>
      <c r="O124" s="9" t="n">
        <f aca="false">IF(OR($K124="",$L124=""),0,ROUND(VLOOKUP($H124,DM_CA_LAM!$A$4:$F$6,6,FALSE())-$M124/60-$N124/60,2))</f>
        <v>8</v>
      </c>
      <c r="P124" s="9" t="s">
        <v>108</v>
      </c>
      <c r="Q124" s="9" t="n">
        <v>0</v>
      </c>
      <c r="R124" s="10"/>
      <c r="S124" s="10"/>
      <c r="T124" s="9" t="str">
        <f aca="false">$B124&amp;"_"&amp;TEXT($F124,"yyyymmdd")</f>
        <v>NV002_20260610</v>
      </c>
      <c r="U124" s="9" t="str">
        <f aca="false">VLOOKUP($P124,DM_TRANG_THAI!$A$4:$B$9,2,FALSE())</f>
        <v>P</v>
      </c>
    </row>
    <row r="125" customFormat="false" ht="15.75" hidden="false" customHeight="true" outlineLevel="0" collapsed="false">
      <c r="A125" s="9" t="n">
        <v>122</v>
      </c>
      <c r="B125" s="9" t="s">
        <v>30</v>
      </c>
      <c r="C125" s="10" t="str">
        <f aca="false">VLOOKUP($B125,DM_NHAN_VIEN!$B$4:$F$18,2,FALSE())</f>
        <v>Trần Thị Nhân Sự</v>
      </c>
      <c r="D125" s="9" t="str">
        <f aca="false">VLOOKUP($B125,DM_NHAN_VIEN!$B$4:$F$18,3,FALSE())</f>
        <v>Nhân sự</v>
      </c>
      <c r="E125" s="9" t="str">
        <f aca="false">VLOOKUP($B125,DM_NHAN_VIEN!$B$4:$F$18,4,FALSE())</f>
        <v>Trưởng phòng</v>
      </c>
      <c r="F125" s="18" t="n">
        <v>46183</v>
      </c>
      <c r="G125" s="9" t="str">
        <f aca="false">CHOOSE(WEEKDAY(F125,2),"Thứ Hai","Thứ Ba","Thứ Tư","Thứ Năm","Thứ Sáu","Thứ Bảy","Chủ Nhật")</f>
        <v>Thứ Tư</v>
      </c>
      <c r="H125" s="9" t="str">
        <f aca="false">VLOOKUP($B125,DM_NHAN_VIEN!$B$4:$F$18,5,FALSE())</f>
        <v>Ca Hành Chính</v>
      </c>
      <c r="I125" s="9" t="str">
        <f aca="false">VLOOKUP($H125,DM_CA_LAM!$A$4:$C$6,2,FALSE())</f>
        <v>07:30</v>
      </c>
      <c r="J125" s="9" t="str">
        <f aca="false">VLOOKUP($H125,DM_CA_LAM!$A$4:$C$6,3,FALSE())</f>
        <v>17:30</v>
      </c>
      <c r="K125" s="9" t="s">
        <v>156</v>
      </c>
      <c r="L125" s="9" t="s">
        <v>153</v>
      </c>
      <c r="M125" s="9" t="n">
        <f aca="false">IF($K125="","",MAX(0,ROUND((TIMEVALUE($K125)-TIMEVALUE($I125))*1440,0)))</f>
        <v>0</v>
      </c>
      <c r="N125" s="9" t="n">
        <f aca="false">IF($L125="","",MAX(0,ROUND((TIMEVALUE($J125)-TIMEVALUE($L125))*1440,0)))</f>
        <v>0</v>
      </c>
      <c r="O125" s="9" t="n">
        <f aca="false">IF(OR($K125="",$L125=""),0,ROUND(VLOOKUP($H125,DM_CA_LAM!$A$4:$F$6,6,FALSE())-$M125/60-$N125/60,2))</f>
        <v>8</v>
      </c>
      <c r="P125" s="9" t="s">
        <v>108</v>
      </c>
      <c r="Q125" s="9" t="n">
        <v>0</v>
      </c>
      <c r="R125" s="10"/>
      <c r="S125" s="10"/>
      <c r="T125" s="9" t="str">
        <f aca="false">$B125&amp;"_"&amp;TEXT($F125,"yyyymmdd")</f>
        <v>NV003_20260610</v>
      </c>
      <c r="U125" s="9" t="str">
        <f aca="false">VLOOKUP($P125,DM_TRANG_THAI!$A$4:$B$9,2,FALSE())</f>
        <v>P</v>
      </c>
    </row>
    <row r="126" customFormat="false" ht="15.75" hidden="false" customHeight="true" outlineLevel="0" collapsed="false">
      <c r="A126" s="9" t="n">
        <v>123</v>
      </c>
      <c r="B126" s="9" t="s">
        <v>35</v>
      </c>
      <c r="C126" s="10" t="str">
        <f aca="false">VLOOKUP($B126,DM_NHAN_VIEN!$B$4:$F$18,2,FALSE())</f>
        <v>Lê Văn Quản Đốc</v>
      </c>
      <c r="D126" s="9" t="str">
        <f aca="false">VLOOKUP($B126,DM_NHAN_VIEN!$B$4:$F$18,3,FALSE())</f>
        <v>Xưởng sản xuất</v>
      </c>
      <c r="E126" s="9" t="str">
        <f aca="false">VLOOKUP($B126,DM_NHAN_VIEN!$B$4:$F$18,4,FALSE())</f>
        <v>Quản đốc</v>
      </c>
      <c r="F126" s="18" t="n">
        <v>46183</v>
      </c>
      <c r="G126" s="9" t="str">
        <f aca="false">CHOOSE(WEEKDAY(F126,2),"Thứ Hai","Thứ Ba","Thứ Tư","Thứ Năm","Thứ Sáu","Thứ Bảy","Chủ Nhật")</f>
        <v>Thứ Tư</v>
      </c>
      <c r="H126" s="9" t="str">
        <f aca="false">VLOOKUP($B126,DM_NHAN_VIEN!$B$4:$F$18,5,FALSE())</f>
        <v>Ca Hành Chính</v>
      </c>
      <c r="I126" s="9" t="str">
        <f aca="false">VLOOKUP($H126,DM_CA_LAM!$A$4:$C$6,2,FALSE())</f>
        <v>07:30</v>
      </c>
      <c r="J126" s="9" t="str">
        <f aca="false">VLOOKUP($H126,DM_CA_LAM!$A$4:$C$6,3,FALSE())</f>
        <v>17:30</v>
      </c>
      <c r="K126" s="9"/>
      <c r="L126" s="9"/>
      <c r="M126" s="9" t="str">
        <f aca="false">IF($K126="","",MAX(0,ROUND((TIMEVALUE($K126)-TIMEVALUE($I126))*1440,0)))</f>
        <v/>
      </c>
      <c r="N126" s="9" t="str">
        <f aca="false">IF($L126="","",MAX(0,ROUND((TIMEVALUE($J126)-TIMEVALUE($L126))*1440,0)))</f>
        <v/>
      </c>
      <c r="O126" s="9" t="n">
        <f aca="false">IF(OR($K126="",$L126=""),0,ROUND(VLOOKUP($H126,DM_CA_LAM!$A$4:$F$6,6,FALSE())-$M126/60-$N126/60,2))</f>
        <v>0</v>
      </c>
      <c r="P126" s="9" t="s">
        <v>120</v>
      </c>
      <c r="Q126" s="9" t="n">
        <v>0</v>
      </c>
      <c r="R126" s="10"/>
      <c r="S126" s="10"/>
      <c r="T126" s="9" t="str">
        <f aca="false">$B126&amp;"_"&amp;TEXT($F126,"yyyymmdd")</f>
        <v>NV004_20260610</v>
      </c>
      <c r="U126" s="9" t="str">
        <f aca="false">VLOOKUP($P126,DM_TRANG_THAI!$A$4:$B$9,2,FALSE())</f>
        <v>KL</v>
      </c>
    </row>
    <row r="127" customFormat="false" ht="15.75" hidden="false" customHeight="true" outlineLevel="0" collapsed="false">
      <c r="A127" s="9" t="n">
        <v>124</v>
      </c>
      <c r="B127" s="9" t="s">
        <v>40</v>
      </c>
      <c r="C127" s="10" t="str">
        <f aca="false">VLOOKUP($B127,DM_NHAN_VIEN!$B$4:$F$18,2,FALSE())</f>
        <v>Phạm Công Nhân</v>
      </c>
      <c r="D127" s="9" t="str">
        <f aca="false">VLOOKUP($B127,DM_NHAN_VIEN!$B$4:$F$18,3,FALSE())</f>
        <v>Xưởng sản xuất</v>
      </c>
      <c r="E127" s="9" t="str">
        <f aca="false">VLOOKUP($B127,DM_NHAN_VIEN!$B$4:$F$18,4,FALSE())</f>
        <v>Công nhân</v>
      </c>
      <c r="F127" s="18" t="n">
        <v>46183</v>
      </c>
      <c r="G127" s="9" t="str">
        <f aca="false">CHOOSE(WEEKDAY(F127,2),"Thứ Hai","Thứ Ba","Thứ Tư","Thứ Năm","Thứ Sáu","Thứ Bảy","Chủ Nhật")</f>
        <v>Thứ Tư</v>
      </c>
      <c r="H127" s="9" t="str">
        <f aca="false">VLOOKUP($B127,DM_NHAN_VIEN!$B$4:$F$18,5,FALSE())</f>
        <v>Ca Hành Chính</v>
      </c>
      <c r="I127" s="9" t="str">
        <f aca="false">VLOOKUP($H127,DM_CA_LAM!$A$4:$C$6,2,FALSE())</f>
        <v>07:30</v>
      </c>
      <c r="J127" s="9" t="str">
        <f aca="false">VLOOKUP($H127,DM_CA_LAM!$A$4:$C$6,3,FALSE())</f>
        <v>17:30</v>
      </c>
      <c r="K127" s="9" t="s">
        <v>145</v>
      </c>
      <c r="L127" s="9" t="s">
        <v>93</v>
      </c>
      <c r="M127" s="9" t="n">
        <f aca="false">IF($K127="","",MAX(0,ROUND((TIMEVALUE($K127)-TIMEVALUE($I127))*1440,0)))</f>
        <v>0</v>
      </c>
      <c r="N127" s="9" t="n">
        <f aca="false">IF($L127="","",MAX(0,ROUND((TIMEVALUE($J127)-TIMEVALUE($L127))*1440,0)))</f>
        <v>0</v>
      </c>
      <c r="O127" s="9" t="n">
        <f aca="false">IF(OR($K127="",$L127=""),0,ROUND(VLOOKUP($H127,DM_CA_LAM!$A$4:$F$6,6,FALSE())-$M127/60-$N127/60,2))</f>
        <v>8</v>
      </c>
      <c r="P127" s="9" t="s">
        <v>108</v>
      </c>
      <c r="Q127" s="9" t="n">
        <v>1.5</v>
      </c>
      <c r="R127" s="10" t="s">
        <v>184</v>
      </c>
      <c r="S127" s="10"/>
      <c r="T127" s="9" t="str">
        <f aca="false">$B127&amp;"_"&amp;TEXT($F127,"yyyymmdd")</f>
        <v>NV005_20260610</v>
      </c>
      <c r="U127" s="9" t="str">
        <f aca="false">VLOOKUP($P127,DM_TRANG_THAI!$A$4:$B$9,2,FALSE())</f>
        <v>P</v>
      </c>
    </row>
    <row r="128" customFormat="false" ht="15.75" hidden="false" customHeight="true" outlineLevel="0" collapsed="false">
      <c r="A128" s="9" t="n">
        <v>125</v>
      </c>
      <c r="B128" s="9" t="s">
        <v>44</v>
      </c>
      <c r="C128" s="10" t="str">
        <f aca="false">VLOOKUP($B128,DM_NHAN_VIEN!$B$4:$F$18,2,FALSE())</f>
        <v>Đỗ Thị Hà</v>
      </c>
      <c r="D128" s="9" t="str">
        <f aca="false">VLOOKUP($B128,DM_NHAN_VIEN!$B$4:$F$18,3,FALSE())</f>
        <v>Hành chính</v>
      </c>
      <c r="E128" s="9" t="str">
        <f aca="false">VLOOKUP($B128,DM_NHAN_VIEN!$B$4:$F$18,4,FALSE())</f>
        <v>Trưởng phòng</v>
      </c>
      <c r="F128" s="18" t="n">
        <v>46183</v>
      </c>
      <c r="G128" s="9" t="str">
        <f aca="false">CHOOSE(WEEKDAY(F128,2),"Thứ Hai","Thứ Ba","Thứ Tư","Thứ Năm","Thứ Sáu","Thứ Bảy","Chủ Nhật")</f>
        <v>Thứ Tư</v>
      </c>
      <c r="H128" s="9" t="str">
        <f aca="false">VLOOKUP($B128,DM_NHAN_VIEN!$B$4:$F$18,5,FALSE())</f>
        <v>Ca Hành Chính</v>
      </c>
      <c r="I128" s="9" t="str">
        <f aca="false">VLOOKUP($H128,DM_CA_LAM!$A$4:$C$6,2,FALSE())</f>
        <v>07:30</v>
      </c>
      <c r="J128" s="9" t="str">
        <f aca="false">VLOOKUP($H128,DM_CA_LAM!$A$4:$C$6,3,FALSE())</f>
        <v>17:30</v>
      </c>
      <c r="K128" s="9" t="s">
        <v>156</v>
      </c>
      <c r="L128" s="9" t="s">
        <v>165</v>
      </c>
      <c r="M128" s="9" t="n">
        <f aca="false">IF($K128="","",MAX(0,ROUND((TIMEVALUE($K128)-TIMEVALUE($I128))*1440,0)))</f>
        <v>0</v>
      </c>
      <c r="N128" s="9" t="n">
        <f aca="false">IF($L128="","",MAX(0,ROUND((TIMEVALUE($J128)-TIMEVALUE($L128))*1440,0)))</f>
        <v>0</v>
      </c>
      <c r="O128" s="9" t="n">
        <f aca="false">IF(OR($K128="",$L128=""),0,ROUND(VLOOKUP($H128,DM_CA_LAM!$A$4:$F$6,6,FALSE())-$M128/60-$N128/60,2))</f>
        <v>8</v>
      </c>
      <c r="P128" s="9" t="s">
        <v>108</v>
      </c>
      <c r="Q128" s="9" t="n">
        <v>0</v>
      </c>
      <c r="R128" s="10"/>
      <c r="S128" s="10"/>
      <c r="T128" s="9" t="str">
        <f aca="false">$B128&amp;"_"&amp;TEXT($F128,"yyyymmdd")</f>
        <v>NV006_20260610</v>
      </c>
      <c r="U128" s="9" t="str">
        <f aca="false">VLOOKUP($P128,DM_TRANG_THAI!$A$4:$B$9,2,FALSE())</f>
        <v>P</v>
      </c>
    </row>
    <row r="129" customFormat="false" ht="15.75" hidden="false" customHeight="true" outlineLevel="0" collapsed="false">
      <c r="A129" s="9" t="n">
        <v>126</v>
      </c>
      <c r="B129" s="9" t="s">
        <v>47</v>
      </c>
      <c r="C129" s="10" t="str">
        <f aca="false">VLOOKUP($B129,DM_NHAN_VIEN!$B$4:$F$18,2,FALSE())</f>
        <v>Ngô Văn Tài</v>
      </c>
      <c r="D129" s="9" t="str">
        <f aca="false">VLOOKUP($B129,DM_NHAN_VIEN!$B$4:$F$18,3,FALSE())</f>
        <v>Hành chính</v>
      </c>
      <c r="E129" s="9" t="str">
        <f aca="false">VLOOKUP($B129,DM_NHAN_VIEN!$B$4:$F$18,4,FALSE())</f>
        <v>Phó phòng</v>
      </c>
      <c r="F129" s="18" t="n">
        <v>46183</v>
      </c>
      <c r="G129" s="9" t="str">
        <f aca="false">CHOOSE(WEEKDAY(F129,2),"Thứ Hai","Thứ Ba","Thứ Tư","Thứ Năm","Thứ Sáu","Thứ Bảy","Chủ Nhật")</f>
        <v>Thứ Tư</v>
      </c>
      <c r="H129" s="9" t="str">
        <f aca="false">VLOOKUP($B129,DM_NHAN_VIEN!$B$4:$F$18,5,FALSE())</f>
        <v>Ca Hành Chính</v>
      </c>
      <c r="I129" s="9" t="str">
        <f aca="false">VLOOKUP($H129,DM_CA_LAM!$A$4:$C$6,2,FALSE())</f>
        <v>07:30</v>
      </c>
      <c r="J129" s="9" t="str">
        <f aca="false">VLOOKUP($H129,DM_CA_LAM!$A$4:$C$6,3,FALSE())</f>
        <v>17:30</v>
      </c>
      <c r="K129" s="9" t="s">
        <v>145</v>
      </c>
      <c r="L129" s="9" t="s">
        <v>93</v>
      </c>
      <c r="M129" s="9" t="n">
        <f aca="false">IF($K129="","",MAX(0,ROUND((TIMEVALUE($K129)-TIMEVALUE($I129))*1440,0)))</f>
        <v>0</v>
      </c>
      <c r="N129" s="9" t="n">
        <f aca="false">IF($L129="","",MAX(0,ROUND((TIMEVALUE($J129)-TIMEVALUE($L129))*1440,0)))</f>
        <v>0</v>
      </c>
      <c r="O129" s="9" t="n">
        <f aca="false">IF(OR($K129="",$L129=""),0,ROUND(VLOOKUP($H129,DM_CA_LAM!$A$4:$F$6,6,FALSE())-$M129/60-$N129/60,2))</f>
        <v>8</v>
      </c>
      <c r="P129" s="9" t="s">
        <v>108</v>
      </c>
      <c r="Q129" s="9" t="n">
        <v>2.5</v>
      </c>
      <c r="R129" s="10" t="s">
        <v>177</v>
      </c>
      <c r="S129" s="10"/>
      <c r="T129" s="9" t="str">
        <f aca="false">$B129&amp;"_"&amp;TEXT($F129,"yyyymmdd")</f>
        <v>NV007_20260610</v>
      </c>
      <c r="U129" s="9" t="str">
        <f aca="false">VLOOKUP($P129,DM_TRANG_THAI!$A$4:$B$9,2,FALSE())</f>
        <v>P</v>
      </c>
    </row>
    <row r="130" customFormat="false" ht="15.75" hidden="false" customHeight="true" outlineLevel="0" collapsed="false">
      <c r="A130" s="9" t="n">
        <v>127</v>
      </c>
      <c r="B130" s="9" t="s">
        <v>51</v>
      </c>
      <c r="C130" s="10" t="str">
        <f aca="false">VLOOKUP($B130,DM_NHAN_VIEN!$B$4:$F$18,2,FALSE())</f>
        <v>Vũ Thị Nga</v>
      </c>
      <c r="D130" s="9" t="str">
        <f aca="false">VLOOKUP($B130,DM_NHAN_VIEN!$B$4:$F$18,3,FALSE())</f>
        <v>Hành chính</v>
      </c>
      <c r="E130" s="9" t="str">
        <f aca="false">VLOOKUP($B130,DM_NHAN_VIEN!$B$4:$F$18,4,FALSE())</f>
        <v>Chuyên viên</v>
      </c>
      <c r="F130" s="18" t="n">
        <v>46183</v>
      </c>
      <c r="G130" s="9" t="str">
        <f aca="false">CHOOSE(WEEKDAY(F130,2),"Thứ Hai","Thứ Ba","Thứ Tư","Thứ Năm","Thứ Sáu","Thứ Bảy","Chủ Nhật")</f>
        <v>Thứ Tư</v>
      </c>
      <c r="H130" s="9" t="str">
        <f aca="false">VLOOKUP($B130,DM_NHAN_VIEN!$B$4:$F$18,5,FALSE())</f>
        <v>Ca Hành Chính</v>
      </c>
      <c r="I130" s="9" t="str">
        <f aca="false">VLOOKUP($H130,DM_CA_LAM!$A$4:$C$6,2,FALSE())</f>
        <v>07:30</v>
      </c>
      <c r="J130" s="9" t="str">
        <f aca="false">VLOOKUP($H130,DM_CA_LAM!$A$4:$C$6,3,FALSE())</f>
        <v>17:30</v>
      </c>
      <c r="K130" s="9" t="s">
        <v>156</v>
      </c>
      <c r="L130" s="9" t="s">
        <v>163</v>
      </c>
      <c r="M130" s="9" t="n">
        <f aca="false">IF($K130="","",MAX(0,ROUND((TIMEVALUE($K130)-TIMEVALUE($I130))*1440,0)))</f>
        <v>0</v>
      </c>
      <c r="N130" s="9" t="n">
        <f aca="false">IF($L130="","",MAX(0,ROUND((TIMEVALUE($J130)-TIMEVALUE($L130))*1440,0)))</f>
        <v>0</v>
      </c>
      <c r="O130" s="9" t="n">
        <f aca="false">IF(OR($K130="",$L130=""),0,ROUND(VLOOKUP($H130,DM_CA_LAM!$A$4:$F$6,6,FALSE())-$M130/60-$N130/60,2))</f>
        <v>8</v>
      </c>
      <c r="P130" s="9" t="s">
        <v>108</v>
      </c>
      <c r="Q130" s="9" t="n">
        <v>0</v>
      </c>
      <c r="R130" s="10"/>
      <c r="S130" s="10"/>
      <c r="T130" s="9" t="str">
        <f aca="false">$B130&amp;"_"&amp;TEXT($F130,"yyyymmdd")</f>
        <v>NV008_20260610</v>
      </c>
      <c r="U130" s="9" t="str">
        <f aca="false">VLOOKUP($P130,DM_TRANG_THAI!$A$4:$B$9,2,FALSE())</f>
        <v>P</v>
      </c>
    </row>
    <row r="131" customFormat="false" ht="15.75" hidden="false" customHeight="true" outlineLevel="0" collapsed="false">
      <c r="A131" s="9" t="n">
        <v>128</v>
      </c>
      <c r="B131" s="9" t="s">
        <v>55</v>
      </c>
      <c r="C131" s="10" t="str">
        <f aca="false">VLOOKUP($B131,DM_NHAN_VIEN!$B$4:$F$18,2,FALSE())</f>
        <v>Đặng Thị Hồng</v>
      </c>
      <c r="D131" s="9" t="str">
        <f aca="false">VLOOKUP($B131,DM_NHAN_VIEN!$B$4:$F$18,3,FALSE())</f>
        <v>Nhân sự</v>
      </c>
      <c r="E131" s="9" t="str">
        <f aca="false">VLOOKUP($B131,DM_NHAN_VIEN!$B$4:$F$18,4,FALSE())</f>
        <v>Chuyên viên</v>
      </c>
      <c r="F131" s="18" t="n">
        <v>46183</v>
      </c>
      <c r="G131" s="9" t="str">
        <f aca="false">CHOOSE(WEEKDAY(F131,2),"Thứ Hai","Thứ Ba","Thứ Tư","Thứ Năm","Thứ Sáu","Thứ Bảy","Chủ Nhật")</f>
        <v>Thứ Tư</v>
      </c>
      <c r="H131" s="9" t="str">
        <f aca="false">VLOOKUP($B131,DM_NHAN_VIEN!$B$4:$F$18,5,FALSE())</f>
        <v>Ca Hành Chính</v>
      </c>
      <c r="I131" s="9" t="str">
        <f aca="false">VLOOKUP($H131,DM_CA_LAM!$A$4:$C$6,2,FALSE())</f>
        <v>07:30</v>
      </c>
      <c r="J131" s="9" t="str">
        <f aca="false">VLOOKUP($H131,DM_CA_LAM!$A$4:$C$6,3,FALSE())</f>
        <v>17:30</v>
      </c>
      <c r="K131" s="9" t="s">
        <v>142</v>
      </c>
      <c r="L131" s="9" t="s">
        <v>166</v>
      </c>
      <c r="M131" s="9" t="n">
        <f aca="false">IF($K131="","",MAX(0,ROUND((TIMEVALUE($K131)-TIMEVALUE($I131))*1440,0)))</f>
        <v>0</v>
      </c>
      <c r="N131" s="9" t="n">
        <f aca="false">IF($L131="","",MAX(0,ROUND((TIMEVALUE($J131)-TIMEVALUE($L131))*1440,0)))</f>
        <v>0</v>
      </c>
      <c r="O131" s="9" t="n">
        <f aca="false">IF(OR($K131="",$L131=""),0,ROUND(VLOOKUP($H131,DM_CA_LAM!$A$4:$F$6,6,FALSE())-$M131/60-$N131/60,2))</f>
        <v>8</v>
      </c>
      <c r="P131" s="9" t="s">
        <v>108</v>
      </c>
      <c r="Q131" s="9" t="n">
        <v>0</v>
      </c>
      <c r="R131" s="10"/>
      <c r="S131" s="10"/>
      <c r="T131" s="9" t="str">
        <f aca="false">$B131&amp;"_"&amp;TEXT($F131,"yyyymmdd")</f>
        <v>NV010_20260610</v>
      </c>
      <c r="U131" s="9" t="str">
        <f aca="false">VLOOKUP($P131,DM_TRANG_THAI!$A$4:$B$9,2,FALSE())</f>
        <v>P</v>
      </c>
    </row>
    <row r="132" customFormat="false" ht="15.75" hidden="false" customHeight="true" outlineLevel="0" collapsed="false">
      <c r="A132" s="9" t="n">
        <v>129</v>
      </c>
      <c r="B132" s="9" t="s">
        <v>58</v>
      </c>
      <c r="C132" s="10" t="str">
        <f aca="false">VLOOKUP($B132,DM_NHAN_VIEN!$B$4:$F$18,2,FALSE())</f>
        <v>Chu Văn Minh</v>
      </c>
      <c r="D132" s="9" t="str">
        <f aca="false">VLOOKUP($B132,DM_NHAN_VIEN!$B$4:$F$18,3,FALSE())</f>
        <v>Nhân sự</v>
      </c>
      <c r="E132" s="9" t="str">
        <f aca="false">VLOOKUP($B132,DM_NHAN_VIEN!$B$4:$F$18,4,FALSE())</f>
        <v>Chuyên viên</v>
      </c>
      <c r="F132" s="18" t="n">
        <v>46183</v>
      </c>
      <c r="G132" s="9" t="str">
        <f aca="false">CHOOSE(WEEKDAY(F132,2),"Thứ Hai","Thứ Ba","Thứ Tư","Thứ Năm","Thứ Sáu","Thứ Bảy","Chủ Nhật")</f>
        <v>Thứ Tư</v>
      </c>
      <c r="H132" s="9" t="str">
        <f aca="false">VLOOKUP($B132,DM_NHAN_VIEN!$B$4:$F$18,5,FALSE())</f>
        <v>Ca Hành Chính</v>
      </c>
      <c r="I132" s="9" t="str">
        <f aca="false">VLOOKUP($H132,DM_CA_LAM!$A$4:$C$6,2,FALSE())</f>
        <v>07:30</v>
      </c>
      <c r="J132" s="9" t="str">
        <f aca="false">VLOOKUP($H132,DM_CA_LAM!$A$4:$C$6,3,FALSE())</f>
        <v>17:30</v>
      </c>
      <c r="K132" s="9" t="s">
        <v>161</v>
      </c>
      <c r="L132" s="9" t="s">
        <v>163</v>
      </c>
      <c r="M132" s="9" t="n">
        <f aca="false">IF($K132="","",MAX(0,ROUND((TIMEVALUE($K132)-TIMEVALUE($I132))*1440,0)))</f>
        <v>0</v>
      </c>
      <c r="N132" s="9" t="n">
        <f aca="false">IF($L132="","",MAX(0,ROUND((TIMEVALUE($J132)-TIMEVALUE($L132))*1440,0)))</f>
        <v>0</v>
      </c>
      <c r="O132" s="9" t="n">
        <f aca="false">IF(OR($K132="",$L132=""),0,ROUND(VLOOKUP($H132,DM_CA_LAM!$A$4:$F$6,6,FALSE())-$M132/60-$N132/60,2))</f>
        <v>8</v>
      </c>
      <c r="P132" s="9" t="s">
        <v>108</v>
      </c>
      <c r="Q132" s="9" t="n">
        <v>0</v>
      </c>
      <c r="R132" s="10"/>
      <c r="S132" s="10"/>
      <c r="T132" s="9" t="str">
        <f aca="false">$B132&amp;"_"&amp;TEXT($F132,"yyyymmdd")</f>
        <v>NV011_20260610</v>
      </c>
      <c r="U132" s="9" t="str">
        <f aca="false">VLOOKUP($P132,DM_TRANG_THAI!$A$4:$B$9,2,FALSE())</f>
        <v>P</v>
      </c>
    </row>
    <row r="133" customFormat="false" ht="15.75" hidden="false" customHeight="true" outlineLevel="0" collapsed="false">
      <c r="A133" s="9" t="n">
        <v>130</v>
      </c>
      <c r="B133" s="9" t="s">
        <v>61</v>
      </c>
      <c r="C133" s="10" t="str">
        <f aca="false">VLOOKUP($B133,DM_NHAN_VIEN!$B$4:$F$18,2,FALSE())</f>
        <v>Phan Thị Khánh</v>
      </c>
      <c r="D133" s="9" t="str">
        <f aca="false">VLOOKUP($B133,DM_NHAN_VIEN!$B$4:$F$18,3,FALSE())</f>
        <v>Kế toán</v>
      </c>
      <c r="E133" s="9" t="str">
        <f aca="false">VLOOKUP($B133,DM_NHAN_VIEN!$B$4:$F$18,4,FALSE())</f>
        <v>Trưởng phòng</v>
      </c>
      <c r="F133" s="18" t="n">
        <v>46183</v>
      </c>
      <c r="G133" s="9" t="str">
        <f aca="false">CHOOSE(WEEKDAY(F133,2),"Thứ Hai","Thứ Ba","Thứ Tư","Thứ Năm","Thứ Sáu","Thứ Bảy","Chủ Nhật")</f>
        <v>Thứ Tư</v>
      </c>
      <c r="H133" s="9" t="str">
        <f aca="false">VLOOKUP($B133,DM_NHAN_VIEN!$B$4:$F$18,5,FALSE())</f>
        <v>Ca Hành Chính</v>
      </c>
      <c r="I133" s="9" t="str">
        <f aca="false">VLOOKUP($H133,DM_CA_LAM!$A$4:$C$6,2,FALSE())</f>
        <v>07:30</v>
      </c>
      <c r="J133" s="9" t="str">
        <f aca="false">VLOOKUP($H133,DM_CA_LAM!$A$4:$C$6,3,FALSE())</f>
        <v>17:30</v>
      </c>
      <c r="K133" s="9" t="s">
        <v>145</v>
      </c>
      <c r="L133" s="9" t="s">
        <v>166</v>
      </c>
      <c r="M133" s="9" t="n">
        <f aca="false">IF($K133="","",MAX(0,ROUND((TIMEVALUE($K133)-TIMEVALUE($I133))*1440,0)))</f>
        <v>0</v>
      </c>
      <c r="N133" s="9" t="n">
        <f aca="false">IF($L133="","",MAX(0,ROUND((TIMEVALUE($J133)-TIMEVALUE($L133))*1440,0)))</f>
        <v>0</v>
      </c>
      <c r="O133" s="9" t="n">
        <f aca="false">IF(OR($K133="",$L133=""),0,ROUND(VLOOKUP($H133,DM_CA_LAM!$A$4:$F$6,6,FALSE())-$M133/60-$N133/60,2))</f>
        <v>8</v>
      </c>
      <c r="P133" s="9" t="s">
        <v>108</v>
      </c>
      <c r="Q133" s="9" t="n">
        <v>0</v>
      </c>
      <c r="R133" s="10"/>
      <c r="S133" s="10"/>
      <c r="T133" s="9" t="str">
        <f aca="false">$B133&amp;"_"&amp;TEXT($F133,"yyyymmdd")</f>
        <v>NV014_20260610</v>
      </c>
      <c r="U133" s="9" t="str">
        <f aca="false">VLOOKUP($P133,DM_TRANG_THAI!$A$4:$B$9,2,FALSE())</f>
        <v>P</v>
      </c>
    </row>
    <row r="134" customFormat="false" ht="15.75" hidden="false" customHeight="true" outlineLevel="0" collapsed="false">
      <c r="A134" s="9" t="n">
        <v>131</v>
      </c>
      <c r="B134" s="9" t="s">
        <v>65</v>
      </c>
      <c r="C134" s="10" t="str">
        <f aca="false">VLOOKUP($B134,DM_NHAN_VIEN!$B$4:$F$18,2,FALSE())</f>
        <v>Trịnh Văn Hùng</v>
      </c>
      <c r="D134" s="9" t="str">
        <f aca="false">VLOOKUP($B134,DM_NHAN_VIEN!$B$4:$F$18,3,FALSE())</f>
        <v>Kế toán</v>
      </c>
      <c r="E134" s="9" t="str">
        <f aca="false">VLOOKUP($B134,DM_NHAN_VIEN!$B$4:$F$18,4,FALSE())</f>
        <v>Phó phòng</v>
      </c>
      <c r="F134" s="18" t="n">
        <v>46183</v>
      </c>
      <c r="G134" s="9" t="str">
        <f aca="false">CHOOSE(WEEKDAY(F134,2),"Thứ Hai","Thứ Ba","Thứ Tư","Thứ Năm","Thứ Sáu","Thứ Bảy","Chủ Nhật")</f>
        <v>Thứ Tư</v>
      </c>
      <c r="H134" s="9" t="str">
        <f aca="false">VLOOKUP($B134,DM_NHAN_VIEN!$B$4:$F$18,5,FALSE())</f>
        <v>Ca Hành Chính</v>
      </c>
      <c r="I134" s="9" t="str">
        <f aca="false">VLOOKUP($H134,DM_CA_LAM!$A$4:$C$6,2,FALSE())</f>
        <v>07:30</v>
      </c>
      <c r="J134" s="9" t="str">
        <f aca="false">VLOOKUP($H134,DM_CA_LAM!$A$4:$C$6,3,FALSE())</f>
        <v>17:30</v>
      </c>
      <c r="K134" s="9" t="s">
        <v>167</v>
      </c>
      <c r="L134" s="9" t="s">
        <v>144</v>
      </c>
      <c r="M134" s="9" t="n">
        <f aca="false">IF($K134="","",MAX(0,ROUND((TIMEVALUE($K134)-TIMEVALUE($I134))*1440,0)))</f>
        <v>0</v>
      </c>
      <c r="N134" s="9" t="n">
        <f aca="false">IF($L134="","",MAX(0,ROUND((TIMEVALUE($J134)-TIMEVALUE($L134))*1440,0)))</f>
        <v>0</v>
      </c>
      <c r="O134" s="9" t="n">
        <f aca="false">IF(OR($K134="",$L134=""),0,ROUND(VLOOKUP($H134,DM_CA_LAM!$A$4:$F$6,6,FALSE())-$M134/60-$N134/60,2))</f>
        <v>8</v>
      </c>
      <c r="P134" s="9" t="s">
        <v>108</v>
      </c>
      <c r="Q134" s="9" t="n">
        <v>3</v>
      </c>
      <c r="R134" s="10" t="s">
        <v>177</v>
      </c>
      <c r="S134" s="10"/>
      <c r="T134" s="9" t="str">
        <f aca="false">$B134&amp;"_"&amp;TEXT($F134,"yyyymmdd")</f>
        <v>NV015_20260610</v>
      </c>
      <c r="U134" s="9" t="str">
        <f aca="false">VLOOKUP($P134,DM_TRANG_THAI!$A$4:$B$9,2,FALSE())</f>
        <v>P</v>
      </c>
    </row>
    <row r="135" customFormat="false" ht="15.75" hidden="false" customHeight="true" outlineLevel="0" collapsed="false">
      <c r="A135" s="9" t="n">
        <v>132</v>
      </c>
      <c r="B135" s="9" t="s">
        <v>68</v>
      </c>
      <c r="C135" s="10" t="str">
        <f aca="false">VLOOKUP($B135,DM_NHAN_VIEN!$B$4:$F$18,2,FALSE())</f>
        <v>Hoàng Văn Lộc</v>
      </c>
      <c r="D135" s="9" t="str">
        <f aca="false">VLOOKUP($B135,DM_NHAN_VIEN!$B$4:$F$18,3,FALSE())</f>
        <v>Kinh doanh</v>
      </c>
      <c r="E135" s="9" t="str">
        <f aca="false">VLOOKUP($B135,DM_NHAN_VIEN!$B$4:$F$18,4,FALSE())</f>
        <v>Trưởng phòng</v>
      </c>
      <c r="F135" s="18" t="n">
        <v>46183</v>
      </c>
      <c r="G135" s="9" t="str">
        <f aca="false">CHOOSE(WEEKDAY(F135,2),"Thứ Hai","Thứ Ba","Thứ Tư","Thứ Năm","Thứ Sáu","Thứ Bảy","Chủ Nhật")</f>
        <v>Thứ Tư</v>
      </c>
      <c r="H135" s="9" t="str">
        <f aca="false">VLOOKUP($B135,DM_NHAN_VIEN!$B$4:$F$18,5,FALSE())</f>
        <v>Ca Hành Chính</v>
      </c>
      <c r="I135" s="9" t="str">
        <f aca="false">VLOOKUP($H135,DM_CA_LAM!$A$4:$C$6,2,FALSE())</f>
        <v>07:30</v>
      </c>
      <c r="J135" s="9" t="str">
        <f aca="false">VLOOKUP($H135,DM_CA_LAM!$A$4:$C$6,3,FALSE())</f>
        <v>17:30</v>
      </c>
      <c r="K135" s="9" t="s">
        <v>161</v>
      </c>
      <c r="L135" s="9" t="s">
        <v>146</v>
      </c>
      <c r="M135" s="9" t="n">
        <f aca="false">IF($K135="","",MAX(0,ROUND((TIMEVALUE($K135)-TIMEVALUE($I135))*1440,0)))</f>
        <v>0</v>
      </c>
      <c r="N135" s="9" t="n">
        <f aca="false">IF($L135="","",MAX(0,ROUND((TIMEVALUE($J135)-TIMEVALUE($L135))*1440,0)))</f>
        <v>0</v>
      </c>
      <c r="O135" s="9" t="n">
        <f aca="false">IF(OR($K135="",$L135=""),0,ROUND(VLOOKUP($H135,DM_CA_LAM!$A$4:$F$6,6,FALSE())-$M135/60-$N135/60,2))</f>
        <v>8</v>
      </c>
      <c r="P135" s="9" t="s">
        <v>108</v>
      </c>
      <c r="Q135" s="9" t="n">
        <v>0</v>
      </c>
      <c r="R135" s="10"/>
      <c r="S135" s="10"/>
      <c r="T135" s="9" t="str">
        <f aca="false">$B135&amp;"_"&amp;TEXT($F135,"yyyymmdd")</f>
        <v>NV019_20260610</v>
      </c>
      <c r="U135" s="9" t="str">
        <f aca="false">VLOOKUP($P135,DM_TRANG_THAI!$A$4:$B$9,2,FALSE())</f>
        <v>P</v>
      </c>
    </row>
    <row r="136" customFormat="false" ht="15.75" hidden="false" customHeight="true" outlineLevel="0" collapsed="false">
      <c r="A136" s="9" t="n">
        <v>133</v>
      </c>
      <c r="B136" s="9" t="s">
        <v>72</v>
      </c>
      <c r="C136" s="10" t="str">
        <f aca="false">VLOOKUP($B136,DM_NHAN_VIEN!$B$4:$F$18,2,FALSE())</f>
        <v>Nguyễn Văn Phú</v>
      </c>
      <c r="D136" s="9" t="str">
        <f aca="false">VLOOKUP($B136,DM_NHAN_VIEN!$B$4:$F$18,3,FALSE())</f>
        <v>Kinh doanh</v>
      </c>
      <c r="E136" s="9" t="str">
        <f aca="false">VLOOKUP($B136,DM_NHAN_VIEN!$B$4:$F$18,4,FALSE())</f>
        <v>Nhân viên</v>
      </c>
      <c r="F136" s="18" t="n">
        <v>46183</v>
      </c>
      <c r="G136" s="9" t="str">
        <f aca="false">CHOOSE(WEEKDAY(F136,2),"Thứ Hai","Thứ Ba","Thứ Tư","Thứ Năm","Thứ Sáu","Thứ Bảy","Chủ Nhật")</f>
        <v>Thứ Tư</v>
      </c>
      <c r="H136" s="9" t="str">
        <f aca="false">VLOOKUP($B136,DM_NHAN_VIEN!$B$4:$F$18,5,FALSE())</f>
        <v>Ca Hành Chính</v>
      </c>
      <c r="I136" s="9" t="str">
        <f aca="false">VLOOKUP($H136,DM_CA_LAM!$A$4:$C$6,2,FALSE())</f>
        <v>07:30</v>
      </c>
      <c r="J136" s="9" t="str">
        <f aca="false">VLOOKUP($H136,DM_CA_LAM!$A$4:$C$6,3,FALSE())</f>
        <v>17:30</v>
      </c>
      <c r="K136" s="9" t="s">
        <v>161</v>
      </c>
      <c r="L136" s="9" t="s">
        <v>159</v>
      </c>
      <c r="M136" s="9" t="n">
        <f aca="false">IF($K136="","",MAX(0,ROUND((TIMEVALUE($K136)-TIMEVALUE($I136))*1440,0)))</f>
        <v>0</v>
      </c>
      <c r="N136" s="9" t="n">
        <f aca="false">IF($L136="","",MAX(0,ROUND((TIMEVALUE($J136)-TIMEVALUE($L136))*1440,0)))</f>
        <v>0</v>
      </c>
      <c r="O136" s="9" t="n">
        <f aca="false">IF(OR($K136="",$L136=""),0,ROUND(VLOOKUP($H136,DM_CA_LAM!$A$4:$F$6,6,FALSE())-$M136/60-$N136/60,2))</f>
        <v>8</v>
      </c>
      <c r="P136" s="9" t="s">
        <v>108</v>
      </c>
      <c r="Q136" s="9" t="n">
        <v>0</v>
      </c>
      <c r="R136" s="10"/>
      <c r="S136" s="10"/>
      <c r="T136" s="9" t="str">
        <f aca="false">$B136&amp;"_"&amp;TEXT($F136,"yyyymmdd")</f>
        <v>NV021_20260610</v>
      </c>
      <c r="U136" s="9" t="str">
        <f aca="false">VLOOKUP($P136,DM_TRANG_THAI!$A$4:$B$9,2,FALSE())</f>
        <v>P</v>
      </c>
    </row>
    <row r="137" customFormat="false" ht="15.75" hidden="false" customHeight="true" outlineLevel="0" collapsed="false">
      <c r="A137" s="9" t="n">
        <v>134</v>
      </c>
      <c r="B137" s="9" t="s">
        <v>76</v>
      </c>
      <c r="C137" s="10" t="str">
        <f aca="false">VLOOKUP($B137,DM_NHAN_VIEN!$B$4:$F$18,2,FALSE())</f>
        <v>Lý Văn Dũng</v>
      </c>
      <c r="D137" s="9" t="str">
        <f aca="false">VLOOKUP($B137,DM_NHAN_VIEN!$B$4:$F$18,3,FALSE())</f>
        <v>Xưởng sản xuất</v>
      </c>
      <c r="E137" s="9" t="str">
        <f aca="false">VLOOKUP($B137,DM_NHAN_VIEN!$B$4:$F$18,4,FALSE())</f>
        <v>Tổ trưởng</v>
      </c>
      <c r="F137" s="18" t="n">
        <v>46183</v>
      </c>
      <c r="G137" s="9" t="str">
        <f aca="false">CHOOSE(WEEKDAY(F137,2),"Thứ Hai","Thứ Ba","Thứ Tư","Thứ Năm","Thứ Sáu","Thứ Bảy","Chủ Nhật")</f>
        <v>Thứ Tư</v>
      </c>
      <c r="H137" s="9" t="str">
        <f aca="false">VLOOKUP($B137,DM_NHAN_VIEN!$B$4:$F$18,5,FALSE())</f>
        <v>Ca Hành Chính</v>
      </c>
      <c r="I137" s="9" t="str">
        <f aca="false">VLOOKUP($H137,DM_CA_LAM!$A$4:$C$6,2,FALSE())</f>
        <v>07:30</v>
      </c>
      <c r="J137" s="9" t="str">
        <f aca="false">VLOOKUP($H137,DM_CA_LAM!$A$4:$C$6,3,FALSE())</f>
        <v>17:30</v>
      </c>
      <c r="K137" s="9" t="s">
        <v>160</v>
      </c>
      <c r="L137" s="9" t="s">
        <v>146</v>
      </c>
      <c r="M137" s="9" t="n">
        <f aca="false">IF($K137="","",MAX(0,ROUND((TIMEVALUE($K137)-TIMEVALUE($I137))*1440,0)))</f>
        <v>0</v>
      </c>
      <c r="N137" s="9" t="n">
        <f aca="false">IF($L137="","",MAX(0,ROUND((TIMEVALUE($J137)-TIMEVALUE($L137))*1440,0)))</f>
        <v>0</v>
      </c>
      <c r="O137" s="9" t="n">
        <f aca="false">IF(OR($K137="",$L137=""),0,ROUND(VLOOKUP($H137,DM_CA_LAM!$A$4:$F$6,6,FALSE())-$M137/60-$N137/60,2))</f>
        <v>8</v>
      </c>
      <c r="P137" s="9" t="s">
        <v>108</v>
      </c>
      <c r="Q137" s="9" t="n">
        <v>2.5</v>
      </c>
      <c r="R137" s="10" t="s">
        <v>151</v>
      </c>
      <c r="S137" s="10"/>
      <c r="T137" s="9" t="str">
        <f aca="false">$B137&amp;"_"&amp;TEXT($F137,"yyyymmdd")</f>
        <v>NV029_20260610</v>
      </c>
      <c r="U137" s="9" t="str">
        <f aca="false">VLOOKUP($P137,DM_TRANG_THAI!$A$4:$B$9,2,FALSE())</f>
        <v>P</v>
      </c>
    </row>
    <row r="138" customFormat="false" ht="15.75" hidden="false" customHeight="true" outlineLevel="0" collapsed="false">
      <c r="A138" s="9" t="n">
        <v>135</v>
      </c>
      <c r="B138" s="9" t="s">
        <v>80</v>
      </c>
      <c r="C138" s="10" t="str">
        <f aca="false">VLOOKUP($B138,DM_NHAN_VIEN!$B$4:$F$18,2,FALSE())</f>
        <v>Tống Văn Thắng</v>
      </c>
      <c r="D138" s="9" t="str">
        <f aca="false">VLOOKUP($B138,DM_NHAN_VIEN!$B$4:$F$18,3,FALSE())</f>
        <v>Xưởng sản xuất</v>
      </c>
      <c r="E138" s="9" t="str">
        <f aca="false">VLOOKUP($B138,DM_NHAN_VIEN!$B$4:$F$18,4,FALSE())</f>
        <v>Tổ trưởng</v>
      </c>
      <c r="F138" s="18" t="n">
        <v>46183</v>
      </c>
      <c r="G138" s="9" t="str">
        <f aca="false">CHOOSE(WEEKDAY(F138,2),"Thứ Hai","Thứ Ba","Thứ Tư","Thứ Năm","Thứ Sáu","Thứ Bảy","Chủ Nhật")</f>
        <v>Thứ Tư</v>
      </c>
      <c r="H138" s="9" t="str">
        <f aca="false">VLOOKUP($B138,DM_NHAN_VIEN!$B$4:$F$18,5,FALSE())</f>
        <v>Ca Hành Chính</v>
      </c>
      <c r="I138" s="9" t="str">
        <f aca="false">VLOOKUP($H138,DM_CA_LAM!$A$4:$C$6,2,FALSE())</f>
        <v>07:30</v>
      </c>
      <c r="J138" s="9" t="str">
        <f aca="false">VLOOKUP($H138,DM_CA_LAM!$A$4:$C$6,3,FALSE())</f>
        <v>17:30</v>
      </c>
      <c r="K138" s="9"/>
      <c r="L138" s="9"/>
      <c r="M138" s="9" t="str">
        <f aca="false">IF($K138="","",MAX(0,ROUND((TIMEVALUE($K138)-TIMEVALUE($I138))*1440,0)))</f>
        <v/>
      </c>
      <c r="N138" s="9" t="str">
        <f aca="false">IF($L138="","",MAX(0,ROUND((TIMEVALUE($J138)-TIMEVALUE($L138))*1440,0)))</f>
        <v/>
      </c>
      <c r="O138" s="9" t="n">
        <f aca="false">IF(OR($K138="",$L138=""),0,ROUND(VLOOKUP($H138,DM_CA_LAM!$A$4:$F$6,6,FALSE())-$M138/60-$N138/60,2))</f>
        <v>0</v>
      </c>
      <c r="P138" s="9" t="s">
        <v>120</v>
      </c>
      <c r="Q138" s="9" t="n">
        <v>0</v>
      </c>
      <c r="R138" s="10"/>
      <c r="S138" s="10"/>
      <c r="T138" s="9" t="str">
        <f aca="false">$B138&amp;"_"&amp;TEXT($F138,"yyyymmdd")</f>
        <v>NV030_20260610</v>
      </c>
      <c r="U138" s="9" t="str">
        <f aca="false">VLOOKUP($P138,DM_TRANG_THAI!$A$4:$B$9,2,FALSE())</f>
        <v>KL</v>
      </c>
    </row>
    <row r="139" customFormat="false" ht="15.75" hidden="false" customHeight="true" outlineLevel="0" collapsed="false">
      <c r="A139" s="9" t="n">
        <v>136</v>
      </c>
      <c r="B139" s="9" t="s">
        <v>24</v>
      </c>
      <c r="C139" s="10" t="str">
        <f aca="false">VLOOKUP($B139,DM_NHAN_VIEN!$B$4:$F$18,2,FALSE())</f>
        <v>Nguyễn Văn Giám Đốc</v>
      </c>
      <c r="D139" s="9" t="str">
        <f aca="false">VLOOKUP($B139,DM_NHAN_VIEN!$B$4:$F$18,3,FALSE())</f>
        <v>Hành chính</v>
      </c>
      <c r="E139" s="9" t="str">
        <f aca="false">VLOOKUP($B139,DM_NHAN_VIEN!$B$4:$F$18,4,FALSE())</f>
        <v>Giám đốc</v>
      </c>
      <c r="F139" s="18" t="n">
        <v>46184</v>
      </c>
      <c r="G139" s="9" t="str">
        <f aca="false">CHOOSE(WEEKDAY(F139,2),"Thứ Hai","Thứ Ba","Thứ Tư","Thứ Năm","Thứ Sáu","Thứ Bảy","Chủ Nhật")</f>
        <v>Thứ Năm</v>
      </c>
      <c r="H139" s="9" t="str">
        <f aca="false">VLOOKUP($B139,DM_NHAN_VIEN!$B$4:$F$18,5,FALSE())</f>
        <v>Ca Hành Chính</v>
      </c>
      <c r="I139" s="9" t="str">
        <f aca="false">VLOOKUP($H139,DM_CA_LAM!$A$4:$C$6,2,FALSE())</f>
        <v>07:30</v>
      </c>
      <c r="J139" s="9" t="str">
        <f aca="false">VLOOKUP($H139,DM_CA_LAM!$A$4:$C$6,3,FALSE())</f>
        <v>17:30</v>
      </c>
      <c r="K139" s="9"/>
      <c r="L139" s="9"/>
      <c r="M139" s="9" t="str">
        <f aca="false">IF($K139="","",MAX(0,ROUND((TIMEVALUE($K139)-TIMEVALUE($I139))*1440,0)))</f>
        <v/>
      </c>
      <c r="N139" s="9" t="str">
        <f aca="false">IF($L139="","",MAX(0,ROUND((TIMEVALUE($J139)-TIMEVALUE($L139))*1440,0)))</f>
        <v/>
      </c>
      <c r="O139" s="9" t="n">
        <f aca="false">IF(OR($K139="",$L139=""),0,ROUND(VLOOKUP($H139,DM_CA_LAM!$A$4:$F$6,6,FALSE())-$M139/60-$N139/60,2))</f>
        <v>0</v>
      </c>
      <c r="P139" s="9" t="s">
        <v>120</v>
      </c>
      <c r="Q139" s="9" t="n">
        <v>0</v>
      </c>
      <c r="R139" s="10"/>
      <c r="S139" s="10"/>
      <c r="T139" s="9" t="str">
        <f aca="false">$B139&amp;"_"&amp;TEXT($F139,"yyyymmdd")</f>
        <v>NV002_20260611</v>
      </c>
      <c r="U139" s="9" t="str">
        <f aca="false">VLOOKUP($P139,DM_TRANG_THAI!$A$4:$B$9,2,FALSE())</f>
        <v>KL</v>
      </c>
    </row>
    <row r="140" customFormat="false" ht="15.75" hidden="false" customHeight="true" outlineLevel="0" collapsed="false">
      <c r="A140" s="9" t="n">
        <v>137</v>
      </c>
      <c r="B140" s="9" t="s">
        <v>30</v>
      </c>
      <c r="C140" s="10" t="str">
        <f aca="false">VLOOKUP($B140,DM_NHAN_VIEN!$B$4:$F$18,2,FALSE())</f>
        <v>Trần Thị Nhân Sự</v>
      </c>
      <c r="D140" s="9" t="str">
        <f aca="false">VLOOKUP($B140,DM_NHAN_VIEN!$B$4:$F$18,3,FALSE())</f>
        <v>Nhân sự</v>
      </c>
      <c r="E140" s="9" t="str">
        <f aca="false">VLOOKUP($B140,DM_NHAN_VIEN!$B$4:$F$18,4,FALSE())</f>
        <v>Trưởng phòng</v>
      </c>
      <c r="F140" s="18" t="n">
        <v>46184</v>
      </c>
      <c r="G140" s="9" t="str">
        <f aca="false">CHOOSE(WEEKDAY(F140,2),"Thứ Hai","Thứ Ba","Thứ Tư","Thứ Năm","Thứ Sáu","Thứ Bảy","Chủ Nhật")</f>
        <v>Thứ Năm</v>
      </c>
      <c r="H140" s="9" t="str">
        <f aca="false">VLOOKUP($B140,DM_NHAN_VIEN!$B$4:$F$18,5,FALSE())</f>
        <v>Ca Hành Chính</v>
      </c>
      <c r="I140" s="9" t="str">
        <f aca="false">VLOOKUP($H140,DM_CA_LAM!$A$4:$C$6,2,FALSE())</f>
        <v>07:30</v>
      </c>
      <c r="J140" s="9" t="str">
        <f aca="false">VLOOKUP($H140,DM_CA_LAM!$A$4:$C$6,3,FALSE())</f>
        <v>17:30</v>
      </c>
      <c r="K140" s="9" t="s">
        <v>148</v>
      </c>
      <c r="L140" s="9" t="s">
        <v>93</v>
      </c>
      <c r="M140" s="9" t="n">
        <f aca="false">IF($K140="","",MAX(0,ROUND((TIMEVALUE($K140)-TIMEVALUE($I140))*1440,0)))</f>
        <v>0</v>
      </c>
      <c r="N140" s="9" t="n">
        <f aca="false">IF($L140="","",MAX(0,ROUND((TIMEVALUE($J140)-TIMEVALUE($L140))*1440,0)))</f>
        <v>0</v>
      </c>
      <c r="O140" s="9" t="n">
        <f aca="false">IF(OR($K140="",$L140=""),0,ROUND(VLOOKUP($H140,DM_CA_LAM!$A$4:$F$6,6,FALSE())-$M140/60-$N140/60,2))</f>
        <v>8</v>
      </c>
      <c r="P140" s="9" t="s">
        <v>108</v>
      </c>
      <c r="Q140" s="9" t="n">
        <v>0</v>
      </c>
      <c r="R140" s="10"/>
      <c r="S140" s="10"/>
      <c r="T140" s="9" t="str">
        <f aca="false">$B140&amp;"_"&amp;TEXT($F140,"yyyymmdd")</f>
        <v>NV003_20260611</v>
      </c>
      <c r="U140" s="9" t="str">
        <f aca="false">VLOOKUP($P140,DM_TRANG_THAI!$A$4:$B$9,2,FALSE())</f>
        <v>P</v>
      </c>
    </row>
    <row r="141" customFormat="false" ht="15.75" hidden="false" customHeight="true" outlineLevel="0" collapsed="false">
      <c r="A141" s="9" t="n">
        <v>138</v>
      </c>
      <c r="B141" s="9" t="s">
        <v>35</v>
      </c>
      <c r="C141" s="10" t="str">
        <f aca="false">VLOOKUP($B141,DM_NHAN_VIEN!$B$4:$F$18,2,FALSE())</f>
        <v>Lê Văn Quản Đốc</v>
      </c>
      <c r="D141" s="9" t="str">
        <f aca="false">VLOOKUP($B141,DM_NHAN_VIEN!$B$4:$F$18,3,FALSE())</f>
        <v>Xưởng sản xuất</v>
      </c>
      <c r="E141" s="9" t="str">
        <f aca="false">VLOOKUP($B141,DM_NHAN_VIEN!$B$4:$F$18,4,FALSE())</f>
        <v>Quản đốc</v>
      </c>
      <c r="F141" s="18" t="n">
        <v>46184</v>
      </c>
      <c r="G141" s="9" t="str">
        <f aca="false">CHOOSE(WEEKDAY(F141,2),"Thứ Hai","Thứ Ba","Thứ Tư","Thứ Năm","Thứ Sáu","Thứ Bảy","Chủ Nhật")</f>
        <v>Thứ Năm</v>
      </c>
      <c r="H141" s="9" t="str">
        <f aca="false">VLOOKUP($B141,DM_NHAN_VIEN!$B$4:$F$18,5,FALSE())</f>
        <v>Ca Hành Chính</v>
      </c>
      <c r="I141" s="9" t="str">
        <f aca="false">VLOOKUP($H141,DM_CA_LAM!$A$4:$C$6,2,FALSE())</f>
        <v>07:30</v>
      </c>
      <c r="J141" s="9" t="str">
        <f aca="false">VLOOKUP($H141,DM_CA_LAM!$A$4:$C$6,3,FALSE())</f>
        <v>17:30</v>
      </c>
      <c r="K141" s="9" t="s">
        <v>167</v>
      </c>
      <c r="L141" s="9" t="s">
        <v>159</v>
      </c>
      <c r="M141" s="9" t="n">
        <f aca="false">IF($K141="","",MAX(0,ROUND((TIMEVALUE($K141)-TIMEVALUE($I141))*1440,0)))</f>
        <v>0</v>
      </c>
      <c r="N141" s="9" t="n">
        <f aca="false">IF($L141="","",MAX(0,ROUND((TIMEVALUE($J141)-TIMEVALUE($L141))*1440,0)))</f>
        <v>0</v>
      </c>
      <c r="O141" s="9" t="n">
        <f aca="false">IF(OR($K141="",$L141=""),0,ROUND(VLOOKUP($H141,DM_CA_LAM!$A$4:$F$6,6,FALSE())-$M141/60-$N141/60,2))</f>
        <v>8</v>
      </c>
      <c r="P141" s="9" t="s">
        <v>108</v>
      </c>
      <c r="Q141" s="9" t="n">
        <v>0</v>
      </c>
      <c r="R141" s="10"/>
      <c r="S141" s="10"/>
      <c r="T141" s="9" t="str">
        <f aca="false">$B141&amp;"_"&amp;TEXT($F141,"yyyymmdd")</f>
        <v>NV004_20260611</v>
      </c>
      <c r="U141" s="9" t="str">
        <f aca="false">VLOOKUP($P141,DM_TRANG_THAI!$A$4:$B$9,2,FALSE())</f>
        <v>P</v>
      </c>
    </row>
    <row r="142" customFormat="false" ht="15.75" hidden="false" customHeight="true" outlineLevel="0" collapsed="false">
      <c r="A142" s="9" t="n">
        <v>139</v>
      </c>
      <c r="B142" s="9" t="s">
        <v>40</v>
      </c>
      <c r="C142" s="10" t="str">
        <f aca="false">VLOOKUP($B142,DM_NHAN_VIEN!$B$4:$F$18,2,FALSE())</f>
        <v>Phạm Công Nhân</v>
      </c>
      <c r="D142" s="9" t="str">
        <f aca="false">VLOOKUP($B142,DM_NHAN_VIEN!$B$4:$F$18,3,FALSE())</f>
        <v>Xưởng sản xuất</v>
      </c>
      <c r="E142" s="9" t="str">
        <f aca="false">VLOOKUP($B142,DM_NHAN_VIEN!$B$4:$F$18,4,FALSE())</f>
        <v>Công nhân</v>
      </c>
      <c r="F142" s="18" t="n">
        <v>46184</v>
      </c>
      <c r="G142" s="9" t="str">
        <f aca="false">CHOOSE(WEEKDAY(F142,2),"Thứ Hai","Thứ Ba","Thứ Tư","Thứ Năm","Thứ Sáu","Thứ Bảy","Chủ Nhật")</f>
        <v>Thứ Năm</v>
      </c>
      <c r="H142" s="9" t="str">
        <f aca="false">VLOOKUP($B142,DM_NHAN_VIEN!$B$4:$F$18,5,FALSE())</f>
        <v>Ca Hành Chính</v>
      </c>
      <c r="I142" s="9" t="str">
        <f aca="false">VLOOKUP($H142,DM_CA_LAM!$A$4:$C$6,2,FALSE())</f>
        <v>07:30</v>
      </c>
      <c r="J142" s="9" t="str">
        <f aca="false">VLOOKUP($H142,DM_CA_LAM!$A$4:$C$6,3,FALSE())</f>
        <v>17:30</v>
      </c>
      <c r="K142" s="9" t="s">
        <v>158</v>
      </c>
      <c r="L142" s="9" t="s">
        <v>153</v>
      </c>
      <c r="M142" s="9" t="n">
        <f aca="false">IF($K142="","",MAX(0,ROUND((TIMEVALUE($K142)-TIMEVALUE($I142))*1440,0)))</f>
        <v>0</v>
      </c>
      <c r="N142" s="9" t="n">
        <f aca="false">IF($L142="","",MAX(0,ROUND((TIMEVALUE($J142)-TIMEVALUE($L142))*1440,0)))</f>
        <v>0</v>
      </c>
      <c r="O142" s="9" t="n">
        <f aca="false">IF(OR($K142="",$L142=""),0,ROUND(VLOOKUP($H142,DM_CA_LAM!$A$4:$F$6,6,FALSE())-$M142/60-$N142/60,2))</f>
        <v>8</v>
      </c>
      <c r="P142" s="9" t="s">
        <v>108</v>
      </c>
      <c r="Q142" s="9" t="n">
        <v>0</v>
      </c>
      <c r="R142" s="10"/>
      <c r="S142" s="10"/>
      <c r="T142" s="9" t="str">
        <f aca="false">$B142&amp;"_"&amp;TEXT($F142,"yyyymmdd")</f>
        <v>NV005_20260611</v>
      </c>
      <c r="U142" s="9" t="str">
        <f aca="false">VLOOKUP($P142,DM_TRANG_THAI!$A$4:$B$9,2,FALSE())</f>
        <v>P</v>
      </c>
    </row>
    <row r="143" customFormat="false" ht="15.75" hidden="false" customHeight="true" outlineLevel="0" collapsed="false">
      <c r="A143" s="9" t="n">
        <v>140</v>
      </c>
      <c r="B143" s="9" t="s">
        <v>44</v>
      </c>
      <c r="C143" s="10" t="str">
        <f aca="false">VLOOKUP($B143,DM_NHAN_VIEN!$B$4:$F$18,2,FALSE())</f>
        <v>Đỗ Thị Hà</v>
      </c>
      <c r="D143" s="9" t="str">
        <f aca="false">VLOOKUP($B143,DM_NHAN_VIEN!$B$4:$F$18,3,FALSE())</f>
        <v>Hành chính</v>
      </c>
      <c r="E143" s="9" t="str">
        <f aca="false">VLOOKUP($B143,DM_NHAN_VIEN!$B$4:$F$18,4,FALSE())</f>
        <v>Trưởng phòng</v>
      </c>
      <c r="F143" s="18" t="n">
        <v>46184</v>
      </c>
      <c r="G143" s="9" t="str">
        <f aca="false">CHOOSE(WEEKDAY(F143,2),"Thứ Hai","Thứ Ba","Thứ Tư","Thứ Năm","Thứ Sáu","Thứ Bảy","Chủ Nhật")</f>
        <v>Thứ Năm</v>
      </c>
      <c r="H143" s="9" t="str">
        <f aca="false">VLOOKUP($B143,DM_NHAN_VIEN!$B$4:$F$18,5,FALSE())</f>
        <v>Ca Hành Chính</v>
      </c>
      <c r="I143" s="9" t="str">
        <f aca="false">VLOOKUP($H143,DM_CA_LAM!$A$4:$C$6,2,FALSE())</f>
        <v>07:30</v>
      </c>
      <c r="J143" s="9" t="str">
        <f aca="false">VLOOKUP($H143,DM_CA_LAM!$A$4:$C$6,3,FALSE())</f>
        <v>17:30</v>
      </c>
      <c r="K143" s="9"/>
      <c r="L143" s="9"/>
      <c r="M143" s="9" t="str">
        <f aca="false">IF($K143="","",MAX(0,ROUND((TIMEVALUE($K143)-TIMEVALUE($I143))*1440,0)))</f>
        <v/>
      </c>
      <c r="N143" s="9" t="str">
        <f aca="false">IF($L143="","",MAX(0,ROUND((TIMEVALUE($J143)-TIMEVALUE($L143))*1440,0)))</f>
        <v/>
      </c>
      <c r="O143" s="9" t="n">
        <f aca="false">IF(OR($K143="",$L143=""),0,ROUND(VLOOKUP($H143,DM_CA_LAM!$A$4:$F$6,6,FALSE())-$M143/60-$N143/60,2))</f>
        <v>0</v>
      </c>
      <c r="P143" s="9" t="s">
        <v>117</v>
      </c>
      <c r="Q143" s="9" t="n">
        <v>0</v>
      </c>
      <c r="R143" s="10"/>
      <c r="S143" s="10"/>
      <c r="T143" s="9" t="str">
        <f aca="false">$B143&amp;"_"&amp;TEXT($F143,"yyyymmdd")</f>
        <v>NV006_20260611</v>
      </c>
      <c r="U143" s="9" t="str">
        <f aca="false">VLOOKUP($P143,DM_TRANG_THAI!$A$4:$B$9,2,FALSE())</f>
        <v>NP</v>
      </c>
    </row>
    <row r="144" customFormat="false" ht="15.75" hidden="false" customHeight="true" outlineLevel="0" collapsed="false">
      <c r="A144" s="9" t="n">
        <v>141</v>
      </c>
      <c r="B144" s="9" t="s">
        <v>47</v>
      </c>
      <c r="C144" s="10" t="str">
        <f aca="false">VLOOKUP($B144,DM_NHAN_VIEN!$B$4:$F$18,2,FALSE())</f>
        <v>Ngô Văn Tài</v>
      </c>
      <c r="D144" s="9" t="str">
        <f aca="false">VLOOKUP($B144,DM_NHAN_VIEN!$B$4:$F$18,3,FALSE())</f>
        <v>Hành chính</v>
      </c>
      <c r="E144" s="9" t="str">
        <f aca="false">VLOOKUP($B144,DM_NHAN_VIEN!$B$4:$F$18,4,FALSE())</f>
        <v>Phó phòng</v>
      </c>
      <c r="F144" s="18" t="n">
        <v>46184</v>
      </c>
      <c r="G144" s="9" t="str">
        <f aca="false">CHOOSE(WEEKDAY(F144,2),"Thứ Hai","Thứ Ba","Thứ Tư","Thứ Năm","Thứ Sáu","Thứ Bảy","Chủ Nhật")</f>
        <v>Thứ Năm</v>
      </c>
      <c r="H144" s="9" t="str">
        <f aca="false">VLOOKUP($B144,DM_NHAN_VIEN!$B$4:$F$18,5,FALSE())</f>
        <v>Ca Hành Chính</v>
      </c>
      <c r="I144" s="9" t="str">
        <f aca="false">VLOOKUP($H144,DM_CA_LAM!$A$4:$C$6,2,FALSE())</f>
        <v>07:30</v>
      </c>
      <c r="J144" s="9" t="str">
        <f aca="false">VLOOKUP($H144,DM_CA_LAM!$A$4:$C$6,3,FALSE())</f>
        <v>17:30</v>
      </c>
      <c r="K144" s="9" t="s">
        <v>186</v>
      </c>
      <c r="L144" s="9" t="s">
        <v>93</v>
      </c>
      <c r="M144" s="9" t="n">
        <f aca="false">IF($K144="","",MAX(0,ROUND((TIMEVALUE($K144)-TIMEVALUE($I144))*1440,0)))</f>
        <v>10</v>
      </c>
      <c r="N144" s="9" t="n">
        <f aca="false">IF($L144="","",MAX(0,ROUND((TIMEVALUE($J144)-TIMEVALUE($L144))*1440,0)))</f>
        <v>0</v>
      </c>
      <c r="O144" s="9" t="n">
        <f aca="false">IF(OR($K144="",$L144=""),0,ROUND(VLOOKUP($H144,DM_CA_LAM!$A$4:$F$6,6,FALSE())-$M144/60-$N144/60,2))</f>
        <v>7.83</v>
      </c>
      <c r="P144" s="9" t="s">
        <v>111</v>
      </c>
      <c r="Q144" s="9" t="n">
        <v>0</v>
      </c>
      <c r="R144" s="10"/>
      <c r="S144" s="10" t="s">
        <v>172</v>
      </c>
      <c r="T144" s="9" t="str">
        <f aca="false">$B144&amp;"_"&amp;TEXT($F144,"yyyymmdd")</f>
        <v>NV007_20260611</v>
      </c>
      <c r="U144" s="9" t="str">
        <f aca="false">VLOOKUP($P144,DM_TRANG_THAI!$A$4:$B$9,2,FALSE())</f>
        <v>L</v>
      </c>
    </row>
    <row r="145" customFormat="false" ht="15.75" hidden="false" customHeight="true" outlineLevel="0" collapsed="false">
      <c r="A145" s="9" t="n">
        <v>142</v>
      </c>
      <c r="B145" s="9" t="s">
        <v>51</v>
      </c>
      <c r="C145" s="10" t="str">
        <f aca="false">VLOOKUP($B145,DM_NHAN_VIEN!$B$4:$F$18,2,FALSE())</f>
        <v>Vũ Thị Nga</v>
      </c>
      <c r="D145" s="9" t="str">
        <f aca="false">VLOOKUP($B145,DM_NHAN_VIEN!$B$4:$F$18,3,FALSE())</f>
        <v>Hành chính</v>
      </c>
      <c r="E145" s="9" t="str">
        <f aca="false">VLOOKUP($B145,DM_NHAN_VIEN!$B$4:$F$18,4,FALSE())</f>
        <v>Chuyên viên</v>
      </c>
      <c r="F145" s="18" t="n">
        <v>46184</v>
      </c>
      <c r="G145" s="9" t="str">
        <f aca="false">CHOOSE(WEEKDAY(F145,2),"Thứ Hai","Thứ Ba","Thứ Tư","Thứ Năm","Thứ Sáu","Thứ Bảy","Chủ Nhật")</f>
        <v>Thứ Năm</v>
      </c>
      <c r="H145" s="9" t="str">
        <f aca="false">VLOOKUP($B145,DM_NHAN_VIEN!$B$4:$F$18,5,FALSE())</f>
        <v>Ca Hành Chính</v>
      </c>
      <c r="I145" s="9" t="str">
        <f aca="false">VLOOKUP($H145,DM_CA_LAM!$A$4:$C$6,2,FALSE())</f>
        <v>07:30</v>
      </c>
      <c r="J145" s="9" t="str">
        <f aca="false">VLOOKUP($H145,DM_CA_LAM!$A$4:$C$6,3,FALSE())</f>
        <v>17:30</v>
      </c>
      <c r="K145" s="9" t="s">
        <v>167</v>
      </c>
      <c r="L145" s="9" t="s">
        <v>165</v>
      </c>
      <c r="M145" s="9" t="n">
        <f aca="false">IF($K145="","",MAX(0,ROUND((TIMEVALUE($K145)-TIMEVALUE($I145))*1440,0)))</f>
        <v>0</v>
      </c>
      <c r="N145" s="9" t="n">
        <f aca="false">IF($L145="","",MAX(0,ROUND((TIMEVALUE($J145)-TIMEVALUE($L145))*1440,0)))</f>
        <v>0</v>
      </c>
      <c r="O145" s="9" t="n">
        <f aca="false">IF(OR($K145="",$L145=""),0,ROUND(VLOOKUP($H145,DM_CA_LAM!$A$4:$F$6,6,FALSE())-$M145/60-$N145/60,2))</f>
        <v>8</v>
      </c>
      <c r="P145" s="9" t="s">
        <v>108</v>
      </c>
      <c r="Q145" s="9" t="n">
        <v>0</v>
      </c>
      <c r="R145" s="10"/>
      <c r="S145" s="10"/>
      <c r="T145" s="9" t="str">
        <f aca="false">$B145&amp;"_"&amp;TEXT($F145,"yyyymmdd")</f>
        <v>NV008_20260611</v>
      </c>
      <c r="U145" s="9" t="str">
        <f aca="false">VLOOKUP($P145,DM_TRANG_THAI!$A$4:$B$9,2,FALSE())</f>
        <v>P</v>
      </c>
    </row>
    <row r="146" customFormat="false" ht="15.75" hidden="false" customHeight="true" outlineLevel="0" collapsed="false">
      <c r="A146" s="9" t="n">
        <v>143</v>
      </c>
      <c r="B146" s="9" t="s">
        <v>55</v>
      </c>
      <c r="C146" s="10" t="str">
        <f aca="false">VLOOKUP($B146,DM_NHAN_VIEN!$B$4:$F$18,2,FALSE())</f>
        <v>Đặng Thị Hồng</v>
      </c>
      <c r="D146" s="9" t="str">
        <f aca="false">VLOOKUP($B146,DM_NHAN_VIEN!$B$4:$F$18,3,FALSE())</f>
        <v>Nhân sự</v>
      </c>
      <c r="E146" s="9" t="str">
        <f aca="false">VLOOKUP($B146,DM_NHAN_VIEN!$B$4:$F$18,4,FALSE())</f>
        <v>Chuyên viên</v>
      </c>
      <c r="F146" s="18" t="n">
        <v>46184</v>
      </c>
      <c r="G146" s="9" t="str">
        <f aca="false">CHOOSE(WEEKDAY(F146,2),"Thứ Hai","Thứ Ba","Thứ Tư","Thứ Năm","Thứ Sáu","Thứ Bảy","Chủ Nhật")</f>
        <v>Thứ Năm</v>
      </c>
      <c r="H146" s="9" t="str">
        <f aca="false">VLOOKUP($B146,DM_NHAN_VIEN!$B$4:$F$18,5,FALSE())</f>
        <v>Ca Hành Chính</v>
      </c>
      <c r="I146" s="9" t="str">
        <f aca="false">VLOOKUP($H146,DM_CA_LAM!$A$4:$C$6,2,FALSE())</f>
        <v>07:30</v>
      </c>
      <c r="J146" s="9" t="str">
        <f aca="false">VLOOKUP($H146,DM_CA_LAM!$A$4:$C$6,3,FALSE())</f>
        <v>17:30</v>
      </c>
      <c r="K146" s="9" t="s">
        <v>167</v>
      </c>
      <c r="L146" s="9" t="s">
        <v>162</v>
      </c>
      <c r="M146" s="9" t="n">
        <f aca="false">IF($K146="","",MAX(0,ROUND((TIMEVALUE($K146)-TIMEVALUE($I146))*1440,0)))</f>
        <v>0</v>
      </c>
      <c r="N146" s="9" t="n">
        <f aca="false">IF($L146="","",MAX(0,ROUND((TIMEVALUE($J146)-TIMEVALUE($L146))*1440,0)))</f>
        <v>0</v>
      </c>
      <c r="O146" s="9" t="n">
        <f aca="false">IF(OR($K146="",$L146=""),0,ROUND(VLOOKUP($H146,DM_CA_LAM!$A$4:$F$6,6,FALSE())-$M146/60-$N146/60,2))</f>
        <v>8</v>
      </c>
      <c r="P146" s="9" t="s">
        <v>108</v>
      </c>
      <c r="Q146" s="9" t="n">
        <v>0</v>
      </c>
      <c r="R146" s="10"/>
      <c r="S146" s="10"/>
      <c r="T146" s="9" t="str">
        <f aca="false">$B146&amp;"_"&amp;TEXT($F146,"yyyymmdd")</f>
        <v>NV010_20260611</v>
      </c>
      <c r="U146" s="9" t="str">
        <f aca="false">VLOOKUP($P146,DM_TRANG_THAI!$A$4:$B$9,2,FALSE())</f>
        <v>P</v>
      </c>
    </row>
    <row r="147" customFormat="false" ht="15.75" hidden="false" customHeight="true" outlineLevel="0" collapsed="false">
      <c r="A147" s="9" t="n">
        <v>144</v>
      </c>
      <c r="B147" s="9" t="s">
        <v>58</v>
      </c>
      <c r="C147" s="10" t="str">
        <f aca="false">VLOOKUP($B147,DM_NHAN_VIEN!$B$4:$F$18,2,FALSE())</f>
        <v>Chu Văn Minh</v>
      </c>
      <c r="D147" s="9" t="str">
        <f aca="false">VLOOKUP($B147,DM_NHAN_VIEN!$B$4:$F$18,3,FALSE())</f>
        <v>Nhân sự</v>
      </c>
      <c r="E147" s="9" t="str">
        <f aca="false">VLOOKUP($B147,DM_NHAN_VIEN!$B$4:$F$18,4,FALSE())</f>
        <v>Chuyên viên</v>
      </c>
      <c r="F147" s="18" t="n">
        <v>46184</v>
      </c>
      <c r="G147" s="9" t="str">
        <f aca="false">CHOOSE(WEEKDAY(F147,2),"Thứ Hai","Thứ Ba","Thứ Tư","Thứ Năm","Thứ Sáu","Thứ Bảy","Chủ Nhật")</f>
        <v>Thứ Năm</v>
      </c>
      <c r="H147" s="9" t="str">
        <f aca="false">VLOOKUP($B147,DM_NHAN_VIEN!$B$4:$F$18,5,FALSE())</f>
        <v>Ca Hành Chính</v>
      </c>
      <c r="I147" s="9" t="str">
        <f aca="false">VLOOKUP($H147,DM_CA_LAM!$A$4:$C$6,2,FALSE())</f>
        <v>07:30</v>
      </c>
      <c r="J147" s="9" t="str">
        <f aca="false">VLOOKUP($H147,DM_CA_LAM!$A$4:$C$6,3,FALSE())</f>
        <v>17:30</v>
      </c>
      <c r="K147" s="9"/>
      <c r="L147" s="9"/>
      <c r="M147" s="9" t="str">
        <f aca="false">IF($K147="","",MAX(0,ROUND((TIMEVALUE($K147)-TIMEVALUE($I147))*1440,0)))</f>
        <v/>
      </c>
      <c r="N147" s="9" t="str">
        <f aca="false">IF($L147="","",MAX(0,ROUND((TIMEVALUE($J147)-TIMEVALUE($L147))*1440,0)))</f>
        <v/>
      </c>
      <c r="O147" s="9" t="n">
        <f aca="false">IF(OR($K147="",$L147=""),0,ROUND(VLOOKUP($H147,DM_CA_LAM!$A$4:$F$6,6,FALSE())-$M147/60-$N147/60,2))</f>
        <v>0</v>
      </c>
      <c r="P147" s="9" t="s">
        <v>120</v>
      </c>
      <c r="Q147" s="9" t="n">
        <v>0</v>
      </c>
      <c r="R147" s="10"/>
      <c r="S147" s="10"/>
      <c r="T147" s="9" t="str">
        <f aca="false">$B147&amp;"_"&amp;TEXT($F147,"yyyymmdd")</f>
        <v>NV011_20260611</v>
      </c>
      <c r="U147" s="9" t="str">
        <f aca="false">VLOOKUP($P147,DM_TRANG_THAI!$A$4:$B$9,2,FALSE())</f>
        <v>KL</v>
      </c>
    </row>
    <row r="148" customFormat="false" ht="15.75" hidden="false" customHeight="true" outlineLevel="0" collapsed="false">
      <c r="A148" s="9" t="n">
        <v>145</v>
      </c>
      <c r="B148" s="9" t="s">
        <v>61</v>
      </c>
      <c r="C148" s="10" t="str">
        <f aca="false">VLOOKUP($B148,DM_NHAN_VIEN!$B$4:$F$18,2,FALSE())</f>
        <v>Phan Thị Khánh</v>
      </c>
      <c r="D148" s="9" t="str">
        <f aca="false">VLOOKUP($B148,DM_NHAN_VIEN!$B$4:$F$18,3,FALSE())</f>
        <v>Kế toán</v>
      </c>
      <c r="E148" s="9" t="str">
        <f aca="false">VLOOKUP($B148,DM_NHAN_VIEN!$B$4:$F$18,4,FALSE())</f>
        <v>Trưởng phòng</v>
      </c>
      <c r="F148" s="18" t="n">
        <v>46184</v>
      </c>
      <c r="G148" s="9" t="str">
        <f aca="false">CHOOSE(WEEKDAY(F148,2),"Thứ Hai","Thứ Ba","Thứ Tư","Thứ Năm","Thứ Sáu","Thứ Bảy","Chủ Nhật")</f>
        <v>Thứ Năm</v>
      </c>
      <c r="H148" s="9" t="str">
        <f aca="false">VLOOKUP($B148,DM_NHAN_VIEN!$B$4:$F$18,5,FALSE())</f>
        <v>Ca Hành Chính</v>
      </c>
      <c r="I148" s="9" t="str">
        <f aca="false">VLOOKUP($H148,DM_CA_LAM!$A$4:$C$6,2,FALSE())</f>
        <v>07:30</v>
      </c>
      <c r="J148" s="9" t="str">
        <f aca="false">VLOOKUP($H148,DM_CA_LAM!$A$4:$C$6,3,FALSE())</f>
        <v>17:30</v>
      </c>
      <c r="K148" s="9" t="s">
        <v>156</v>
      </c>
      <c r="L148" s="9" t="s">
        <v>170</v>
      </c>
      <c r="M148" s="9" t="n">
        <f aca="false">IF($K148="","",MAX(0,ROUND((TIMEVALUE($K148)-TIMEVALUE($I148))*1440,0)))</f>
        <v>0</v>
      </c>
      <c r="N148" s="9" t="n">
        <f aca="false">IF($L148="","",MAX(0,ROUND((TIMEVALUE($J148)-TIMEVALUE($L148))*1440,0)))</f>
        <v>0</v>
      </c>
      <c r="O148" s="9" t="n">
        <f aca="false">IF(OR($K148="",$L148=""),0,ROUND(VLOOKUP($H148,DM_CA_LAM!$A$4:$F$6,6,FALSE())-$M148/60-$N148/60,2))</f>
        <v>8</v>
      </c>
      <c r="P148" s="9" t="s">
        <v>108</v>
      </c>
      <c r="Q148" s="9" t="n">
        <v>0</v>
      </c>
      <c r="R148" s="10"/>
      <c r="S148" s="10"/>
      <c r="T148" s="9" t="str">
        <f aca="false">$B148&amp;"_"&amp;TEXT($F148,"yyyymmdd")</f>
        <v>NV014_20260611</v>
      </c>
      <c r="U148" s="9" t="str">
        <f aca="false">VLOOKUP($P148,DM_TRANG_THAI!$A$4:$B$9,2,FALSE())</f>
        <v>P</v>
      </c>
    </row>
    <row r="149" customFormat="false" ht="15.75" hidden="false" customHeight="true" outlineLevel="0" collapsed="false">
      <c r="A149" s="9" t="n">
        <v>146</v>
      </c>
      <c r="B149" s="9" t="s">
        <v>65</v>
      </c>
      <c r="C149" s="10" t="str">
        <f aca="false">VLOOKUP($B149,DM_NHAN_VIEN!$B$4:$F$18,2,FALSE())</f>
        <v>Trịnh Văn Hùng</v>
      </c>
      <c r="D149" s="9" t="str">
        <f aca="false">VLOOKUP($B149,DM_NHAN_VIEN!$B$4:$F$18,3,FALSE())</f>
        <v>Kế toán</v>
      </c>
      <c r="E149" s="9" t="str">
        <f aca="false">VLOOKUP($B149,DM_NHAN_VIEN!$B$4:$F$18,4,FALSE())</f>
        <v>Phó phòng</v>
      </c>
      <c r="F149" s="18" t="n">
        <v>46184</v>
      </c>
      <c r="G149" s="9" t="str">
        <f aca="false">CHOOSE(WEEKDAY(F149,2),"Thứ Hai","Thứ Ba","Thứ Tư","Thứ Năm","Thứ Sáu","Thứ Bảy","Chủ Nhật")</f>
        <v>Thứ Năm</v>
      </c>
      <c r="H149" s="9" t="str">
        <f aca="false">VLOOKUP($B149,DM_NHAN_VIEN!$B$4:$F$18,5,FALSE())</f>
        <v>Ca Hành Chính</v>
      </c>
      <c r="I149" s="9" t="str">
        <f aca="false">VLOOKUP($H149,DM_CA_LAM!$A$4:$C$6,2,FALSE())</f>
        <v>07:30</v>
      </c>
      <c r="J149" s="9" t="str">
        <f aca="false">VLOOKUP($H149,DM_CA_LAM!$A$4:$C$6,3,FALSE())</f>
        <v>17:30</v>
      </c>
      <c r="K149" s="9" t="s">
        <v>158</v>
      </c>
      <c r="L149" s="9" t="s">
        <v>163</v>
      </c>
      <c r="M149" s="9" t="n">
        <f aca="false">IF($K149="","",MAX(0,ROUND((TIMEVALUE($K149)-TIMEVALUE($I149))*1440,0)))</f>
        <v>0</v>
      </c>
      <c r="N149" s="9" t="n">
        <f aca="false">IF($L149="","",MAX(0,ROUND((TIMEVALUE($J149)-TIMEVALUE($L149))*1440,0)))</f>
        <v>0</v>
      </c>
      <c r="O149" s="9" t="n">
        <f aca="false">IF(OR($K149="",$L149=""),0,ROUND(VLOOKUP($H149,DM_CA_LAM!$A$4:$F$6,6,FALSE())-$M149/60-$N149/60,2))</f>
        <v>8</v>
      </c>
      <c r="P149" s="9" t="s">
        <v>108</v>
      </c>
      <c r="Q149" s="9" t="n">
        <v>0</v>
      </c>
      <c r="R149" s="10"/>
      <c r="S149" s="10"/>
      <c r="T149" s="9" t="str">
        <f aca="false">$B149&amp;"_"&amp;TEXT($F149,"yyyymmdd")</f>
        <v>NV015_20260611</v>
      </c>
      <c r="U149" s="9" t="str">
        <f aca="false">VLOOKUP($P149,DM_TRANG_THAI!$A$4:$B$9,2,FALSE())</f>
        <v>P</v>
      </c>
    </row>
    <row r="150" customFormat="false" ht="15.75" hidden="false" customHeight="true" outlineLevel="0" collapsed="false">
      <c r="A150" s="9" t="n">
        <v>147</v>
      </c>
      <c r="B150" s="9" t="s">
        <v>68</v>
      </c>
      <c r="C150" s="10" t="str">
        <f aca="false">VLOOKUP($B150,DM_NHAN_VIEN!$B$4:$F$18,2,FALSE())</f>
        <v>Hoàng Văn Lộc</v>
      </c>
      <c r="D150" s="9" t="str">
        <f aca="false">VLOOKUP($B150,DM_NHAN_VIEN!$B$4:$F$18,3,FALSE())</f>
        <v>Kinh doanh</v>
      </c>
      <c r="E150" s="9" t="str">
        <f aca="false">VLOOKUP($B150,DM_NHAN_VIEN!$B$4:$F$18,4,FALSE())</f>
        <v>Trưởng phòng</v>
      </c>
      <c r="F150" s="18" t="n">
        <v>46184</v>
      </c>
      <c r="G150" s="9" t="str">
        <f aca="false">CHOOSE(WEEKDAY(F150,2),"Thứ Hai","Thứ Ba","Thứ Tư","Thứ Năm","Thứ Sáu","Thứ Bảy","Chủ Nhật")</f>
        <v>Thứ Năm</v>
      </c>
      <c r="H150" s="9" t="str">
        <f aca="false">VLOOKUP($B150,DM_NHAN_VIEN!$B$4:$F$18,5,FALSE())</f>
        <v>Ca Hành Chính</v>
      </c>
      <c r="I150" s="9" t="str">
        <f aca="false">VLOOKUP($H150,DM_CA_LAM!$A$4:$C$6,2,FALSE())</f>
        <v>07:30</v>
      </c>
      <c r="J150" s="9" t="str">
        <f aca="false">VLOOKUP($H150,DM_CA_LAM!$A$4:$C$6,3,FALSE())</f>
        <v>17:30</v>
      </c>
      <c r="K150" s="9" t="s">
        <v>161</v>
      </c>
      <c r="L150" s="9" t="s">
        <v>170</v>
      </c>
      <c r="M150" s="9" t="n">
        <f aca="false">IF($K150="","",MAX(0,ROUND((TIMEVALUE($K150)-TIMEVALUE($I150))*1440,0)))</f>
        <v>0</v>
      </c>
      <c r="N150" s="9" t="n">
        <f aca="false">IF($L150="","",MAX(0,ROUND((TIMEVALUE($J150)-TIMEVALUE($L150))*1440,0)))</f>
        <v>0</v>
      </c>
      <c r="O150" s="9" t="n">
        <f aca="false">IF(OR($K150="",$L150=""),0,ROUND(VLOOKUP($H150,DM_CA_LAM!$A$4:$F$6,6,FALSE())-$M150/60-$N150/60,2))</f>
        <v>8</v>
      </c>
      <c r="P150" s="9" t="s">
        <v>108</v>
      </c>
      <c r="Q150" s="9" t="n">
        <v>0</v>
      </c>
      <c r="R150" s="10"/>
      <c r="S150" s="10"/>
      <c r="T150" s="9" t="str">
        <f aca="false">$B150&amp;"_"&amp;TEXT($F150,"yyyymmdd")</f>
        <v>NV019_20260611</v>
      </c>
      <c r="U150" s="9" t="str">
        <f aca="false">VLOOKUP($P150,DM_TRANG_THAI!$A$4:$B$9,2,FALSE())</f>
        <v>P</v>
      </c>
    </row>
    <row r="151" customFormat="false" ht="15.75" hidden="false" customHeight="true" outlineLevel="0" collapsed="false">
      <c r="A151" s="9" t="n">
        <v>148</v>
      </c>
      <c r="B151" s="9" t="s">
        <v>72</v>
      </c>
      <c r="C151" s="10" t="str">
        <f aca="false">VLOOKUP($B151,DM_NHAN_VIEN!$B$4:$F$18,2,FALSE())</f>
        <v>Nguyễn Văn Phú</v>
      </c>
      <c r="D151" s="9" t="str">
        <f aca="false">VLOOKUP($B151,DM_NHAN_VIEN!$B$4:$F$18,3,FALSE())</f>
        <v>Kinh doanh</v>
      </c>
      <c r="E151" s="9" t="str">
        <f aca="false">VLOOKUP($B151,DM_NHAN_VIEN!$B$4:$F$18,4,FALSE())</f>
        <v>Nhân viên</v>
      </c>
      <c r="F151" s="18" t="n">
        <v>46184</v>
      </c>
      <c r="G151" s="9" t="str">
        <f aca="false">CHOOSE(WEEKDAY(F151,2),"Thứ Hai","Thứ Ba","Thứ Tư","Thứ Năm","Thứ Sáu","Thứ Bảy","Chủ Nhật")</f>
        <v>Thứ Năm</v>
      </c>
      <c r="H151" s="9" t="str">
        <f aca="false">VLOOKUP($B151,DM_NHAN_VIEN!$B$4:$F$18,5,FALSE())</f>
        <v>Ca Hành Chính</v>
      </c>
      <c r="I151" s="9" t="str">
        <f aca="false">VLOOKUP($H151,DM_CA_LAM!$A$4:$C$6,2,FALSE())</f>
        <v>07:30</v>
      </c>
      <c r="J151" s="9" t="str">
        <f aca="false">VLOOKUP($H151,DM_CA_LAM!$A$4:$C$6,3,FALSE())</f>
        <v>17:30</v>
      </c>
      <c r="K151" s="9" t="s">
        <v>145</v>
      </c>
      <c r="L151" s="9" t="s">
        <v>174</v>
      </c>
      <c r="M151" s="9" t="n">
        <f aca="false">IF($K151="","",MAX(0,ROUND((TIMEVALUE($K151)-TIMEVALUE($I151))*1440,0)))</f>
        <v>0</v>
      </c>
      <c r="N151" s="9" t="n">
        <f aca="false">IF($L151="","",MAX(0,ROUND((TIMEVALUE($J151)-TIMEVALUE($L151))*1440,0)))</f>
        <v>0</v>
      </c>
      <c r="O151" s="9" t="n">
        <f aca="false">IF(OR($K151="",$L151=""),0,ROUND(VLOOKUP($H151,DM_CA_LAM!$A$4:$F$6,6,FALSE())-$M151/60-$N151/60,2))</f>
        <v>8</v>
      </c>
      <c r="P151" s="9" t="s">
        <v>108</v>
      </c>
      <c r="Q151" s="9" t="n">
        <v>0</v>
      </c>
      <c r="R151" s="10"/>
      <c r="S151" s="10"/>
      <c r="T151" s="9" t="str">
        <f aca="false">$B151&amp;"_"&amp;TEXT($F151,"yyyymmdd")</f>
        <v>NV021_20260611</v>
      </c>
      <c r="U151" s="9" t="str">
        <f aca="false">VLOOKUP($P151,DM_TRANG_THAI!$A$4:$B$9,2,FALSE())</f>
        <v>P</v>
      </c>
    </row>
    <row r="152" customFormat="false" ht="15.75" hidden="false" customHeight="true" outlineLevel="0" collapsed="false">
      <c r="A152" s="9" t="n">
        <v>149</v>
      </c>
      <c r="B152" s="9" t="s">
        <v>76</v>
      </c>
      <c r="C152" s="10" t="str">
        <f aca="false">VLOOKUP($B152,DM_NHAN_VIEN!$B$4:$F$18,2,FALSE())</f>
        <v>Lý Văn Dũng</v>
      </c>
      <c r="D152" s="9" t="str">
        <f aca="false">VLOOKUP($B152,DM_NHAN_VIEN!$B$4:$F$18,3,FALSE())</f>
        <v>Xưởng sản xuất</v>
      </c>
      <c r="E152" s="9" t="str">
        <f aca="false">VLOOKUP($B152,DM_NHAN_VIEN!$B$4:$F$18,4,FALSE())</f>
        <v>Tổ trưởng</v>
      </c>
      <c r="F152" s="18" t="n">
        <v>46184</v>
      </c>
      <c r="G152" s="9" t="str">
        <f aca="false">CHOOSE(WEEKDAY(F152,2),"Thứ Hai","Thứ Ba","Thứ Tư","Thứ Năm","Thứ Sáu","Thứ Bảy","Chủ Nhật")</f>
        <v>Thứ Năm</v>
      </c>
      <c r="H152" s="9" t="str">
        <f aca="false">VLOOKUP($B152,DM_NHAN_VIEN!$B$4:$F$18,5,FALSE())</f>
        <v>Ca Hành Chính</v>
      </c>
      <c r="I152" s="9" t="str">
        <f aca="false">VLOOKUP($H152,DM_CA_LAM!$A$4:$C$6,2,FALSE())</f>
        <v>07:30</v>
      </c>
      <c r="J152" s="9" t="str">
        <f aca="false">VLOOKUP($H152,DM_CA_LAM!$A$4:$C$6,3,FALSE())</f>
        <v>17:30</v>
      </c>
      <c r="K152" s="9" t="s">
        <v>92</v>
      </c>
      <c r="L152" s="9" t="s">
        <v>153</v>
      </c>
      <c r="M152" s="9" t="n">
        <f aca="false">IF($K152="","",MAX(0,ROUND((TIMEVALUE($K152)-TIMEVALUE($I152))*1440,0)))</f>
        <v>0</v>
      </c>
      <c r="N152" s="9" t="n">
        <f aca="false">IF($L152="","",MAX(0,ROUND((TIMEVALUE($J152)-TIMEVALUE($L152))*1440,0)))</f>
        <v>0</v>
      </c>
      <c r="O152" s="9" t="n">
        <f aca="false">IF(OR($K152="",$L152=""),0,ROUND(VLOOKUP($H152,DM_CA_LAM!$A$4:$F$6,6,FALSE())-$M152/60-$N152/60,2))</f>
        <v>8</v>
      </c>
      <c r="P152" s="9" t="s">
        <v>108</v>
      </c>
      <c r="Q152" s="9" t="n">
        <v>0</v>
      </c>
      <c r="R152" s="10"/>
      <c r="S152" s="10"/>
      <c r="T152" s="9" t="str">
        <f aca="false">$B152&amp;"_"&amp;TEXT($F152,"yyyymmdd")</f>
        <v>NV029_20260611</v>
      </c>
      <c r="U152" s="9" t="str">
        <f aca="false">VLOOKUP($P152,DM_TRANG_THAI!$A$4:$B$9,2,FALSE())</f>
        <v>P</v>
      </c>
    </row>
    <row r="153" customFormat="false" ht="15.75" hidden="false" customHeight="true" outlineLevel="0" collapsed="false">
      <c r="A153" s="9" t="n">
        <v>150</v>
      </c>
      <c r="B153" s="9" t="s">
        <v>80</v>
      </c>
      <c r="C153" s="10" t="str">
        <f aca="false">VLOOKUP($B153,DM_NHAN_VIEN!$B$4:$F$18,2,FALSE())</f>
        <v>Tống Văn Thắng</v>
      </c>
      <c r="D153" s="9" t="str">
        <f aca="false">VLOOKUP($B153,DM_NHAN_VIEN!$B$4:$F$18,3,FALSE())</f>
        <v>Xưởng sản xuất</v>
      </c>
      <c r="E153" s="9" t="str">
        <f aca="false">VLOOKUP($B153,DM_NHAN_VIEN!$B$4:$F$18,4,FALSE())</f>
        <v>Tổ trưởng</v>
      </c>
      <c r="F153" s="18" t="n">
        <v>46184</v>
      </c>
      <c r="G153" s="9" t="str">
        <f aca="false">CHOOSE(WEEKDAY(F153,2),"Thứ Hai","Thứ Ba","Thứ Tư","Thứ Năm","Thứ Sáu","Thứ Bảy","Chủ Nhật")</f>
        <v>Thứ Năm</v>
      </c>
      <c r="H153" s="9" t="str">
        <f aca="false">VLOOKUP($B153,DM_NHAN_VIEN!$B$4:$F$18,5,FALSE())</f>
        <v>Ca Hành Chính</v>
      </c>
      <c r="I153" s="9" t="str">
        <f aca="false">VLOOKUP($H153,DM_CA_LAM!$A$4:$C$6,2,FALSE())</f>
        <v>07:30</v>
      </c>
      <c r="J153" s="9" t="str">
        <f aca="false">VLOOKUP($H153,DM_CA_LAM!$A$4:$C$6,3,FALSE())</f>
        <v>17:30</v>
      </c>
      <c r="K153" s="9" t="s">
        <v>142</v>
      </c>
      <c r="L153" s="9" t="s">
        <v>146</v>
      </c>
      <c r="M153" s="9" t="n">
        <f aca="false">IF($K153="","",MAX(0,ROUND((TIMEVALUE($K153)-TIMEVALUE($I153))*1440,0)))</f>
        <v>0</v>
      </c>
      <c r="N153" s="9" t="n">
        <f aca="false">IF($L153="","",MAX(0,ROUND((TIMEVALUE($J153)-TIMEVALUE($L153))*1440,0)))</f>
        <v>0</v>
      </c>
      <c r="O153" s="9" t="n">
        <f aca="false">IF(OR($K153="",$L153=""),0,ROUND(VLOOKUP($H153,DM_CA_LAM!$A$4:$F$6,6,FALSE())-$M153/60-$N153/60,2))</f>
        <v>8</v>
      </c>
      <c r="P153" s="9" t="s">
        <v>108</v>
      </c>
      <c r="Q153" s="9" t="n">
        <v>0</v>
      </c>
      <c r="R153" s="10"/>
      <c r="S153" s="10"/>
      <c r="T153" s="9" t="str">
        <f aca="false">$B153&amp;"_"&amp;TEXT($F153,"yyyymmdd")</f>
        <v>NV030_20260611</v>
      </c>
      <c r="U153" s="9" t="str">
        <f aca="false">VLOOKUP($P153,DM_TRANG_THAI!$A$4:$B$9,2,FALSE())</f>
        <v>P</v>
      </c>
    </row>
    <row r="154" customFormat="false" ht="15.75" hidden="false" customHeight="true" outlineLevel="0" collapsed="false">
      <c r="A154" s="9" t="n">
        <v>151</v>
      </c>
      <c r="B154" s="9" t="s">
        <v>24</v>
      </c>
      <c r="C154" s="10" t="str">
        <f aca="false">VLOOKUP($B154,DM_NHAN_VIEN!$B$4:$F$18,2,FALSE())</f>
        <v>Nguyễn Văn Giám Đốc</v>
      </c>
      <c r="D154" s="9" t="str">
        <f aca="false">VLOOKUP($B154,DM_NHAN_VIEN!$B$4:$F$18,3,FALSE())</f>
        <v>Hành chính</v>
      </c>
      <c r="E154" s="9" t="str">
        <f aca="false">VLOOKUP($B154,DM_NHAN_VIEN!$B$4:$F$18,4,FALSE())</f>
        <v>Giám đốc</v>
      </c>
      <c r="F154" s="18" t="n">
        <v>46185</v>
      </c>
      <c r="G154" s="9" t="str">
        <f aca="false">CHOOSE(WEEKDAY(F154,2),"Thứ Hai","Thứ Ba","Thứ Tư","Thứ Năm","Thứ Sáu","Thứ Bảy","Chủ Nhật")</f>
        <v>Thứ Sáu</v>
      </c>
      <c r="H154" s="9" t="str">
        <f aca="false">VLOOKUP($B154,DM_NHAN_VIEN!$B$4:$F$18,5,FALSE())</f>
        <v>Ca Hành Chính</v>
      </c>
      <c r="I154" s="9" t="str">
        <f aca="false">VLOOKUP($H154,DM_CA_LAM!$A$4:$C$6,2,FALSE())</f>
        <v>07:30</v>
      </c>
      <c r="J154" s="9" t="str">
        <f aca="false">VLOOKUP($H154,DM_CA_LAM!$A$4:$C$6,3,FALSE())</f>
        <v>17:30</v>
      </c>
      <c r="K154" s="9" t="s">
        <v>148</v>
      </c>
      <c r="L154" s="9" t="s">
        <v>159</v>
      </c>
      <c r="M154" s="9" t="n">
        <f aca="false">IF($K154="","",MAX(0,ROUND((TIMEVALUE($K154)-TIMEVALUE($I154))*1440,0)))</f>
        <v>0</v>
      </c>
      <c r="N154" s="9" t="n">
        <f aca="false">IF($L154="","",MAX(0,ROUND((TIMEVALUE($J154)-TIMEVALUE($L154))*1440,0)))</f>
        <v>0</v>
      </c>
      <c r="O154" s="9" t="n">
        <f aca="false">IF(OR($K154="",$L154=""),0,ROUND(VLOOKUP($H154,DM_CA_LAM!$A$4:$F$6,6,FALSE())-$M154/60-$N154/60,2))</f>
        <v>8</v>
      </c>
      <c r="P154" s="9" t="s">
        <v>108</v>
      </c>
      <c r="Q154" s="9" t="n">
        <v>0</v>
      </c>
      <c r="R154" s="10"/>
      <c r="S154" s="10"/>
      <c r="T154" s="9" t="str">
        <f aca="false">$B154&amp;"_"&amp;TEXT($F154,"yyyymmdd")</f>
        <v>NV002_20260612</v>
      </c>
      <c r="U154" s="9" t="str">
        <f aca="false">VLOOKUP($P154,DM_TRANG_THAI!$A$4:$B$9,2,FALSE())</f>
        <v>P</v>
      </c>
    </row>
    <row r="155" customFormat="false" ht="15.75" hidden="false" customHeight="true" outlineLevel="0" collapsed="false">
      <c r="A155" s="9" t="n">
        <v>152</v>
      </c>
      <c r="B155" s="9" t="s">
        <v>30</v>
      </c>
      <c r="C155" s="10" t="str">
        <f aca="false">VLOOKUP($B155,DM_NHAN_VIEN!$B$4:$F$18,2,FALSE())</f>
        <v>Trần Thị Nhân Sự</v>
      </c>
      <c r="D155" s="9" t="str">
        <f aca="false">VLOOKUP($B155,DM_NHAN_VIEN!$B$4:$F$18,3,FALSE())</f>
        <v>Nhân sự</v>
      </c>
      <c r="E155" s="9" t="str">
        <f aca="false">VLOOKUP($B155,DM_NHAN_VIEN!$B$4:$F$18,4,FALSE())</f>
        <v>Trưởng phòng</v>
      </c>
      <c r="F155" s="18" t="n">
        <v>46185</v>
      </c>
      <c r="G155" s="9" t="str">
        <f aca="false">CHOOSE(WEEKDAY(F155,2),"Thứ Hai","Thứ Ba","Thứ Tư","Thứ Năm","Thứ Sáu","Thứ Bảy","Chủ Nhật")</f>
        <v>Thứ Sáu</v>
      </c>
      <c r="H155" s="9" t="str">
        <f aca="false">VLOOKUP($B155,DM_NHAN_VIEN!$B$4:$F$18,5,FALSE())</f>
        <v>Ca Hành Chính</v>
      </c>
      <c r="I155" s="9" t="str">
        <f aca="false">VLOOKUP($H155,DM_CA_LAM!$A$4:$C$6,2,FALSE())</f>
        <v>07:30</v>
      </c>
      <c r="J155" s="9" t="str">
        <f aca="false">VLOOKUP($H155,DM_CA_LAM!$A$4:$C$6,3,FALSE())</f>
        <v>17:30</v>
      </c>
      <c r="K155" s="9" t="s">
        <v>160</v>
      </c>
      <c r="L155" s="9" t="s">
        <v>183</v>
      </c>
      <c r="M155" s="9" t="n">
        <f aca="false">IF($K155="","",MAX(0,ROUND((TIMEVALUE($K155)-TIMEVALUE($I155))*1440,0)))</f>
        <v>0</v>
      </c>
      <c r="N155" s="9" t="n">
        <f aca="false">IF($L155="","",MAX(0,ROUND((TIMEVALUE($J155)-TIMEVALUE($L155))*1440,0)))</f>
        <v>0</v>
      </c>
      <c r="O155" s="9" t="n">
        <f aca="false">IF(OR($K155="",$L155=""),0,ROUND(VLOOKUP($H155,DM_CA_LAM!$A$4:$F$6,6,FALSE())-$M155/60-$N155/60,2))</f>
        <v>8</v>
      </c>
      <c r="P155" s="9" t="s">
        <v>108</v>
      </c>
      <c r="Q155" s="9" t="n">
        <v>0</v>
      </c>
      <c r="R155" s="10"/>
      <c r="S155" s="10"/>
      <c r="T155" s="9" t="str">
        <f aca="false">$B155&amp;"_"&amp;TEXT($F155,"yyyymmdd")</f>
        <v>NV003_20260612</v>
      </c>
      <c r="U155" s="9" t="str">
        <f aca="false">VLOOKUP($P155,DM_TRANG_THAI!$A$4:$B$9,2,FALSE())</f>
        <v>P</v>
      </c>
    </row>
    <row r="156" customFormat="false" ht="15.75" hidden="false" customHeight="true" outlineLevel="0" collapsed="false">
      <c r="A156" s="9" t="n">
        <v>153</v>
      </c>
      <c r="B156" s="9" t="s">
        <v>35</v>
      </c>
      <c r="C156" s="10" t="str">
        <f aca="false">VLOOKUP($B156,DM_NHAN_VIEN!$B$4:$F$18,2,FALSE())</f>
        <v>Lê Văn Quản Đốc</v>
      </c>
      <c r="D156" s="9" t="str">
        <f aca="false">VLOOKUP($B156,DM_NHAN_VIEN!$B$4:$F$18,3,FALSE())</f>
        <v>Xưởng sản xuất</v>
      </c>
      <c r="E156" s="9" t="str">
        <f aca="false">VLOOKUP($B156,DM_NHAN_VIEN!$B$4:$F$18,4,FALSE())</f>
        <v>Quản đốc</v>
      </c>
      <c r="F156" s="18" t="n">
        <v>46185</v>
      </c>
      <c r="G156" s="9" t="str">
        <f aca="false">CHOOSE(WEEKDAY(F156,2),"Thứ Hai","Thứ Ba","Thứ Tư","Thứ Năm","Thứ Sáu","Thứ Bảy","Chủ Nhật")</f>
        <v>Thứ Sáu</v>
      </c>
      <c r="H156" s="9" t="str">
        <f aca="false">VLOOKUP($B156,DM_NHAN_VIEN!$B$4:$F$18,5,FALSE())</f>
        <v>Ca Hành Chính</v>
      </c>
      <c r="I156" s="9" t="str">
        <f aca="false">VLOOKUP($H156,DM_CA_LAM!$A$4:$C$6,2,FALSE())</f>
        <v>07:30</v>
      </c>
      <c r="J156" s="9" t="str">
        <f aca="false">VLOOKUP($H156,DM_CA_LAM!$A$4:$C$6,3,FALSE())</f>
        <v>17:30</v>
      </c>
      <c r="K156" s="9"/>
      <c r="L156" s="9"/>
      <c r="M156" s="9" t="str">
        <f aca="false">IF($K156="","",MAX(0,ROUND((TIMEVALUE($K156)-TIMEVALUE($I156))*1440,0)))</f>
        <v/>
      </c>
      <c r="N156" s="9" t="str">
        <f aca="false">IF($L156="","",MAX(0,ROUND((TIMEVALUE($J156)-TIMEVALUE($L156))*1440,0)))</f>
        <v/>
      </c>
      <c r="O156" s="9" t="n">
        <f aca="false">IF(OR($K156="",$L156=""),0,ROUND(VLOOKUP($H156,DM_CA_LAM!$A$4:$F$6,6,FALSE())-$M156/60-$N156/60,2))</f>
        <v>0</v>
      </c>
      <c r="P156" s="9" t="s">
        <v>117</v>
      </c>
      <c r="Q156" s="9" t="n">
        <v>0</v>
      </c>
      <c r="R156" s="10"/>
      <c r="S156" s="10"/>
      <c r="T156" s="9" t="str">
        <f aca="false">$B156&amp;"_"&amp;TEXT($F156,"yyyymmdd")</f>
        <v>NV004_20260612</v>
      </c>
      <c r="U156" s="9" t="str">
        <f aca="false">VLOOKUP($P156,DM_TRANG_THAI!$A$4:$B$9,2,FALSE())</f>
        <v>NP</v>
      </c>
    </row>
    <row r="157" customFormat="false" ht="15.75" hidden="false" customHeight="true" outlineLevel="0" collapsed="false">
      <c r="A157" s="9" t="n">
        <v>154</v>
      </c>
      <c r="B157" s="9" t="s">
        <v>40</v>
      </c>
      <c r="C157" s="10" t="str">
        <f aca="false">VLOOKUP($B157,DM_NHAN_VIEN!$B$4:$F$18,2,FALSE())</f>
        <v>Phạm Công Nhân</v>
      </c>
      <c r="D157" s="9" t="str">
        <f aca="false">VLOOKUP($B157,DM_NHAN_VIEN!$B$4:$F$18,3,FALSE())</f>
        <v>Xưởng sản xuất</v>
      </c>
      <c r="E157" s="9" t="str">
        <f aca="false">VLOOKUP($B157,DM_NHAN_VIEN!$B$4:$F$18,4,FALSE())</f>
        <v>Công nhân</v>
      </c>
      <c r="F157" s="18" t="n">
        <v>46185</v>
      </c>
      <c r="G157" s="9" t="str">
        <f aca="false">CHOOSE(WEEKDAY(F157,2),"Thứ Hai","Thứ Ba","Thứ Tư","Thứ Năm","Thứ Sáu","Thứ Bảy","Chủ Nhật")</f>
        <v>Thứ Sáu</v>
      </c>
      <c r="H157" s="9" t="str">
        <f aca="false">VLOOKUP($B157,DM_NHAN_VIEN!$B$4:$F$18,5,FALSE())</f>
        <v>Ca Hành Chính</v>
      </c>
      <c r="I157" s="9" t="str">
        <f aca="false">VLOOKUP($H157,DM_CA_LAM!$A$4:$C$6,2,FALSE())</f>
        <v>07:30</v>
      </c>
      <c r="J157" s="9" t="str">
        <f aca="false">VLOOKUP($H157,DM_CA_LAM!$A$4:$C$6,3,FALSE())</f>
        <v>17:30</v>
      </c>
      <c r="K157" s="9" t="s">
        <v>158</v>
      </c>
      <c r="L157" s="9" t="s">
        <v>164</v>
      </c>
      <c r="M157" s="9" t="n">
        <f aca="false">IF($K157="","",MAX(0,ROUND((TIMEVALUE($K157)-TIMEVALUE($I157))*1440,0)))</f>
        <v>0</v>
      </c>
      <c r="N157" s="9" t="n">
        <f aca="false">IF($L157="","",MAX(0,ROUND((TIMEVALUE($J157)-TIMEVALUE($L157))*1440,0)))</f>
        <v>0</v>
      </c>
      <c r="O157" s="9" t="n">
        <f aca="false">IF(OR($K157="",$L157=""),0,ROUND(VLOOKUP($H157,DM_CA_LAM!$A$4:$F$6,6,FALSE())-$M157/60-$N157/60,2))</f>
        <v>8</v>
      </c>
      <c r="P157" s="9" t="s">
        <v>108</v>
      </c>
      <c r="Q157" s="9" t="n">
        <v>0</v>
      </c>
      <c r="R157" s="10"/>
      <c r="S157" s="10"/>
      <c r="T157" s="9" t="str">
        <f aca="false">$B157&amp;"_"&amp;TEXT($F157,"yyyymmdd")</f>
        <v>NV005_20260612</v>
      </c>
      <c r="U157" s="9" t="str">
        <f aca="false">VLOOKUP($P157,DM_TRANG_THAI!$A$4:$B$9,2,FALSE())</f>
        <v>P</v>
      </c>
    </row>
    <row r="158" customFormat="false" ht="15.75" hidden="false" customHeight="true" outlineLevel="0" collapsed="false">
      <c r="A158" s="9" t="n">
        <v>155</v>
      </c>
      <c r="B158" s="9" t="s">
        <v>44</v>
      </c>
      <c r="C158" s="10" t="str">
        <f aca="false">VLOOKUP($B158,DM_NHAN_VIEN!$B$4:$F$18,2,FALSE())</f>
        <v>Đỗ Thị Hà</v>
      </c>
      <c r="D158" s="9" t="str">
        <f aca="false">VLOOKUP($B158,DM_NHAN_VIEN!$B$4:$F$18,3,FALSE())</f>
        <v>Hành chính</v>
      </c>
      <c r="E158" s="9" t="str">
        <f aca="false">VLOOKUP($B158,DM_NHAN_VIEN!$B$4:$F$18,4,FALSE())</f>
        <v>Trưởng phòng</v>
      </c>
      <c r="F158" s="18" t="n">
        <v>46185</v>
      </c>
      <c r="G158" s="9" t="str">
        <f aca="false">CHOOSE(WEEKDAY(F158,2),"Thứ Hai","Thứ Ba","Thứ Tư","Thứ Năm","Thứ Sáu","Thứ Bảy","Chủ Nhật")</f>
        <v>Thứ Sáu</v>
      </c>
      <c r="H158" s="9" t="str">
        <f aca="false">VLOOKUP($B158,DM_NHAN_VIEN!$B$4:$F$18,5,FALSE())</f>
        <v>Ca Hành Chính</v>
      </c>
      <c r="I158" s="9" t="str">
        <f aca="false">VLOOKUP($H158,DM_CA_LAM!$A$4:$C$6,2,FALSE())</f>
        <v>07:30</v>
      </c>
      <c r="J158" s="9" t="str">
        <f aca="false">VLOOKUP($H158,DM_CA_LAM!$A$4:$C$6,3,FALSE())</f>
        <v>17:30</v>
      </c>
      <c r="K158" s="9" t="s">
        <v>92</v>
      </c>
      <c r="L158" s="9" t="s">
        <v>162</v>
      </c>
      <c r="M158" s="9" t="n">
        <f aca="false">IF($K158="","",MAX(0,ROUND((TIMEVALUE($K158)-TIMEVALUE($I158))*1440,0)))</f>
        <v>0</v>
      </c>
      <c r="N158" s="9" t="n">
        <f aca="false">IF($L158="","",MAX(0,ROUND((TIMEVALUE($J158)-TIMEVALUE($L158))*1440,0)))</f>
        <v>0</v>
      </c>
      <c r="O158" s="9" t="n">
        <f aca="false">IF(OR($K158="",$L158=""),0,ROUND(VLOOKUP($H158,DM_CA_LAM!$A$4:$F$6,6,FALSE())-$M158/60-$N158/60,2))</f>
        <v>8</v>
      </c>
      <c r="P158" s="9" t="s">
        <v>108</v>
      </c>
      <c r="Q158" s="9" t="n">
        <v>0</v>
      </c>
      <c r="R158" s="10"/>
      <c r="S158" s="10"/>
      <c r="T158" s="9" t="str">
        <f aca="false">$B158&amp;"_"&amp;TEXT($F158,"yyyymmdd")</f>
        <v>NV006_20260612</v>
      </c>
      <c r="U158" s="9" t="str">
        <f aca="false">VLOOKUP($P158,DM_TRANG_THAI!$A$4:$B$9,2,FALSE())</f>
        <v>P</v>
      </c>
    </row>
    <row r="159" customFormat="false" ht="15.75" hidden="false" customHeight="true" outlineLevel="0" collapsed="false">
      <c r="A159" s="9" t="n">
        <v>156</v>
      </c>
      <c r="B159" s="9" t="s">
        <v>47</v>
      </c>
      <c r="C159" s="10" t="str">
        <f aca="false">VLOOKUP($B159,DM_NHAN_VIEN!$B$4:$F$18,2,FALSE())</f>
        <v>Ngô Văn Tài</v>
      </c>
      <c r="D159" s="9" t="str">
        <f aca="false">VLOOKUP($B159,DM_NHAN_VIEN!$B$4:$F$18,3,FALSE())</f>
        <v>Hành chính</v>
      </c>
      <c r="E159" s="9" t="str">
        <f aca="false">VLOOKUP($B159,DM_NHAN_VIEN!$B$4:$F$18,4,FALSE())</f>
        <v>Phó phòng</v>
      </c>
      <c r="F159" s="18" t="n">
        <v>46185</v>
      </c>
      <c r="G159" s="9" t="str">
        <f aca="false">CHOOSE(WEEKDAY(F159,2),"Thứ Hai","Thứ Ba","Thứ Tư","Thứ Năm","Thứ Sáu","Thứ Bảy","Chủ Nhật")</f>
        <v>Thứ Sáu</v>
      </c>
      <c r="H159" s="9" t="str">
        <f aca="false">VLOOKUP($B159,DM_NHAN_VIEN!$B$4:$F$18,5,FALSE())</f>
        <v>Ca Hành Chính</v>
      </c>
      <c r="I159" s="9" t="str">
        <f aca="false">VLOOKUP($H159,DM_CA_LAM!$A$4:$C$6,2,FALSE())</f>
        <v>07:30</v>
      </c>
      <c r="J159" s="9" t="str">
        <f aca="false">VLOOKUP($H159,DM_CA_LAM!$A$4:$C$6,3,FALSE())</f>
        <v>17:30</v>
      </c>
      <c r="K159" s="9" t="s">
        <v>158</v>
      </c>
      <c r="L159" s="9" t="s">
        <v>146</v>
      </c>
      <c r="M159" s="9" t="n">
        <f aca="false">IF($K159="","",MAX(0,ROUND((TIMEVALUE($K159)-TIMEVALUE($I159))*1440,0)))</f>
        <v>0</v>
      </c>
      <c r="N159" s="9" t="n">
        <f aca="false">IF($L159="","",MAX(0,ROUND((TIMEVALUE($J159)-TIMEVALUE($L159))*1440,0)))</f>
        <v>0</v>
      </c>
      <c r="O159" s="9" t="n">
        <f aca="false">IF(OR($K159="",$L159=""),0,ROUND(VLOOKUP($H159,DM_CA_LAM!$A$4:$F$6,6,FALSE())-$M159/60-$N159/60,2))</f>
        <v>8</v>
      </c>
      <c r="P159" s="9" t="s">
        <v>108</v>
      </c>
      <c r="Q159" s="9" t="n">
        <v>0</v>
      </c>
      <c r="R159" s="10"/>
      <c r="S159" s="10"/>
      <c r="T159" s="9" t="str">
        <f aca="false">$B159&amp;"_"&amp;TEXT($F159,"yyyymmdd")</f>
        <v>NV007_20260612</v>
      </c>
      <c r="U159" s="9" t="str">
        <f aca="false">VLOOKUP($P159,DM_TRANG_THAI!$A$4:$B$9,2,FALSE())</f>
        <v>P</v>
      </c>
    </row>
    <row r="160" customFormat="false" ht="15.75" hidden="false" customHeight="true" outlineLevel="0" collapsed="false">
      <c r="A160" s="9" t="n">
        <v>157</v>
      </c>
      <c r="B160" s="9" t="s">
        <v>51</v>
      </c>
      <c r="C160" s="10" t="str">
        <f aca="false">VLOOKUP($B160,DM_NHAN_VIEN!$B$4:$F$18,2,FALSE())</f>
        <v>Vũ Thị Nga</v>
      </c>
      <c r="D160" s="9" t="str">
        <f aca="false">VLOOKUP($B160,DM_NHAN_VIEN!$B$4:$F$18,3,FALSE())</f>
        <v>Hành chính</v>
      </c>
      <c r="E160" s="9" t="str">
        <f aca="false">VLOOKUP($B160,DM_NHAN_VIEN!$B$4:$F$18,4,FALSE())</f>
        <v>Chuyên viên</v>
      </c>
      <c r="F160" s="18" t="n">
        <v>46185</v>
      </c>
      <c r="G160" s="9" t="str">
        <f aca="false">CHOOSE(WEEKDAY(F160,2),"Thứ Hai","Thứ Ba","Thứ Tư","Thứ Năm","Thứ Sáu","Thứ Bảy","Chủ Nhật")</f>
        <v>Thứ Sáu</v>
      </c>
      <c r="H160" s="9" t="str">
        <f aca="false">VLOOKUP($B160,DM_NHAN_VIEN!$B$4:$F$18,5,FALSE())</f>
        <v>Ca Hành Chính</v>
      </c>
      <c r="I160" s="9" t="str">
        <f aca="false">VLOOKUP($H160,DM_CA_LAM!$A$4:$C$6,2,FALSE())</f>
        <v>07:30</v>
      </c>
      <c r="J160" s="9" t="str">
        <f aca="false">VLOOKUP($H160,DM_CA_LAM!$A$4:$C$6,3,FALSE())</f>
        <v>17:30</v>
      </c>
      <c r="K160" s="9" t="s">
        <v>161</v>
      </c>
      <c r="L160" s="9" t="s">
        <v>166</v>
      </c>
      <c r="M160" s="9" t="n">
        <f aca="false">IF($K160="","",MAX(0,ROUND((TIMEVALUE($K160)-TIMEVALUE($I160))*1440,0)))</f>
        <v>0</v>
      </c>
      <c r="N160" s="9" t="n">
        <f aca="false">IF($L160="","",MAX(0,ROUND((TIMEVALUE($J160)-TIMEVALUE($L160))*1440,0)))</f>
        <v>0</v>
      </c>
      <c r="O160" s="9" t="n">
        <f aca="false">IF(OR($K160="",$L160=""),0,ROUND(VLOOKUP($H160,DM_CA_LAM!$A$4:$F$6,6,FALSE())-$M160/60-$N160/60,2))</f>
        <v>8</v>
      </c>
      <c r="P160" s="9" t="s">
        <v>108</v>
      </c>
      <c r="Q160" s="9" t="n">
        <v>0</v>
      </c>
      <c r="R160" s="10"/>
      <c r="S160" s="10"/>
      <c r="T160" s="9" t="str">
        <f aca="false">$B160&amp;"_"&amp;TEXT($F160,"yyyymmdd")</f>
        <v>NV008_20260612</v>
      </c>
      <c r="U160" s="9" t="str">
        <f aca="false">VLOOKUP($P160,DM_TRANG_THAI!$A$4:$B$9,2,FALSE())</f>
        <v>P</v>
      </c>
    </row>
    <row r="161" customFormat="false" ht="15.75" hidden="false" customHeight="true" outlineLevel="0" collapsed="false">
      <c r="A161" s="9" t="n">
        <v>158</v>
      </c>
      <c r="B161" s="9" t="s">
        <v>55</v>
      </c>
      <c r="C161" s="10" t="str">
        <f aca="false">VLOOKUP($B161,DM_NHAN_VIEN!$B$4:$F$18,2,FALSE())</f>
        <v>Đặng Thị Hồng</v>
      </c>
      <c r="D161" s="9" t="str">
        <f aca="false">VLOOKUP($B161,DM_NHAN_VIEN!$B$4:$F$18,3,FALSE())</f>
        <v>Nhân sự</v>
      </c>
      <c r="E161" s="9" t="str">
        <f aca="false">VLOOKUP($B161,DM_NHAN_VIEN!$B$4:$F$18,4,FALSE())</f>
        <v>Chuyên viên</v>
      </c>
      <c r="F161" s="18" t="n">
        <v>46185</v>
      </c>
      <c r="G161" s="9" t="str">
        <f aca="false">CHOOSE(WEEKDAY(F161,2),"Thứ Hai","Thứ Ba","Thứ Tư","Thứ Năm","Thứ Sáu","Thứ Bảy","Chủ Nhật")</f>
        <v>Thứ Sáu</v>
      </c>
      <c r="H161" s="9" t="str">
        <f aca="false">VLOOKUP($B161,DM_NHAN_VIEN!$B$4:$F$18,5,FALSE())</f>
        <v>Ca Hành Chính</v>
      </c>
      <c r="I161" s="9" t="str">
        <f aca="false">VLOOKUP($H161,DM_CA_LAM!$A$4:$C$6,2,FALSE())</f>
        <v>07:30</v>
      </c>
      <c r="J161" s="9" t="str">
        <f aca="false">VLOOKUP($H161,DM_CA_LAM!$A$4:$C$6,3,FALSE())</f>
        <v>17:30</v>
      </c>
      <c r="K161" s="9"/>
      <c r="L161" s="9"/>
      <c r="M161" s="9" t="str">
        <f aca="false">IF($K161="","",MAX(0,ROUND((TIMEVALUE($K161)-TIMEVALUE($I161))*1440,0)))</f>
        <v/>
      </c>
      <c r="N161" s="9" t="str">
        <f aca="false">IF($L161="","",MAX(0,ROUND((TIMEVALUE($J161)-TIMEVALUE($L161))*1440,0)))</f>
        <v/>
      </c>
      <c r="O161" s="9" t="n">
        <f aca="false">IF(OR($K161="",$L161=""),0,ROUND(VLOOKUP($H161,DM_CA_LAM!$A$4:$F$6,6,FALSE())-$M161/60-$N161/60,2))</f>
        <v>0</v>
      </c>
      <c r="P161" s="9" t="s">
        <v>114</v>
      </c>
      <c r="Q161" s="9" t="n">
        <v>0</v>
      </c>
      <c r="R161" s="10"/>
      <c r="S161" s="10"/>
      <c r="T161" s="9" t="str">
        <f aca="false">$B161&amp;"_"&amp;TEXT($F161,"yyyymmdd")</f>
        <v>NV010_20260612</v>
      </c>
      <c r="U161" s="9" t="str">
        <f aca="false">VLOOKUP($P161,DM_TRANG_THAI!$A$4:$B$9,2,FALSE())</f>
        <v>A</v>
      </c>
    </row>
    <row r="162" customFormat="false" ht="15.75" hidden="false" customHeight="true" outlineLevel="0" collapsed="false">
      <c r="A162" s="9" t="n">
        <v>159</v>
      </c>
      <c r="B162" s="9" t="s">
        <v>58</v>
      </c>
      <c r="C162" s="10" t="str">
        <f aca="false">VLOOKUP($B162,DM_NHAN_VIEN!$B$4:$F$18,2,FALSE())</f>
        <v>Chu Văn Minh</v>
      </c>
      <c r="D162" s="9" t="str">
        <f aca="false">VLOOKUP($B162,DM_NHAN_VIEN!$B$4:$F$18,3,FALSE())</f>
        <v>Nhân sự</v>
      </c>
      <c r="E162" s="9" t="str">
        <f aca="false">VLOOKUP($B162,DM_NHAN_VIEN!$B$4:$F$18,4,FALSE())</f>
        <v>Chuyên viên</v>
      </c>
      <c r="F162" s="18" t="n">
        <v>46185</v>
      </c>
      <c r="G162" s="9" t="str">
        <f aca="false">CHOOSE(WEEKDAY(F162,2),"Thứ Hai","Thứ Ba","Thứ Tư","Thứ Năm","Thứ Sáu","Thứ Bảy","Chủ Nhật")</f>
        <v>Thứ Sáu</v>
      </c>
      <c r="H162" s="9" t="str">
        <f aca="false">VLOOKUP($B162,DM_NHAN_VIEN!$B$4:$F$18,5,FALSE())</f>
        <v>Ca Hành Chính</v>
      </c>
      <c r="I162" s="9" t="str">
        <f aca="false">VLOOKUP($H162,DM_CA_LAM!$A$4:$C$6,2,FALSE())</f>
        <v>07:30</v>
      </c>
      <c r="J162" s="9" t="str">
        <f aca="false">VLOOKUP($H162,DM_CA_LAM!$A$4:$C$6,3,FALSE())</f>
        <v>17:30</v>
      </c>
      <c r="K162" s="9" t="s">
        <v>148</v>
      </c>
      <c r="L162" s="9" t="s">
        <v>153</v>
      </c>
      <c r="M162" s="9" t="n">
        <f aca="false">IF($K162="","",MAX(0,ROUND((TIMEVALUE($K162)-TIMEVALUE($I162))*1440,0)))</f>
        <v>0</v>
      </c>
      <c r="N162" s="9" t="n">
        <f aca="false">IF($L162="","",MAX(0,ROUND((TIMEVALUE($J162)-TIMEVALUE($L162))*1440,0)))</f>
        <v>0</v>
      </c>
      <c r="O162" s="9" t="n">
        <f aca="false">IF(OR($K162="",$L162=""),0,ROUND(VLOOKUP($H162,DM_CA_LAM!$A$4:$F$6,6,FALSE())-$M162/60-$N162/60,2))</f>
        <v>8</v>
      </c>
      <c r="P162" s="9" t="s">
        <v>108</v>
      </c>
      <c r="Q162" s="9" t="n">
        <v>0</v>
      </c>
      <c r="R162" s="10"/>
      <c r="S162" s="10"/>
      <c r="T162" s="9" t="str">
        <f aca="false">$B162&amp;"_"&amp;TEXT($F162,"yyyymmdd")</f>
        <v>NV011_20260612</v>
      </c>
      <c r="U162" s="9" t="str">
        <f aca="false">VLOOKUP($P162,DM_TRANG_THAI!$A$4:$B$9,2,FALSE())</f>
        <v>P</v>
      </c>
    </row>
    <row r="163" customFormat="false" ht="15.75" hidden="false" customHeight="true" outlineLevel="0" collapsed="false">
      <c r="A163" s="9" t="n">
        <v>160</v>
      </c>
      <c r="B163" s="9" t="s">
        <v>61</v>
      </c>
      <c r="C163" s="10" t="str">
        <f aca="false">VLOOKUP($B163,DM_NHAN_VIEN!$B$4:$F$18,2,FALSE())</f>
        <v>Phan Thị Khánh</v>
      </c>
      <c r="D163" s="9" t="str">
        <f aca="false">VLOOKUP($B163,DM_NHAN_VIEN!$B$4:$F$18,3,FALSE())</f>
        <v>Kế toán</v>
      </c>
      <c r="E163" s="9" t="str">
        <f aca="false">VLOOKUP($B163,DM_NHAN_VIEN!$B$4:$F$18,4,FALSE())</f>
        <v>Trưởng phòng</v>
      </c>
      <c r="F163" s="18" t="n">
        <v>46185</v>
      </c>
      <c r="G163" s="9" t="str">
        <f aca="false">CHOOSE(WEEKDAY(F163,2),"Thứ Hai","Thứ Ba","Thứ Tư","Thứ Năm","Thứ Sáu","Thứ Bảy","Chủ Nhật")</f>
        <v>Thứ Sáu</v>
      </c>
      <c r="H163" s="9" t="str">
        <f aca="false">VLOOKUP($B163,DM_NHAN_VIEN!$B$4:$F$18,5,FALSE())</f>
        <v>Ca Hành Chính</v>
      </c>
      <c r="I163" s="9" t="str">
        <f aca="false">VLOOKUP($H163,DM_CA_LAM!$A$4:$C$6,2,FALSE())</f>
        <v>07:30</v>
      </c>
      <c r="J163" s="9" t="str">
        <f aca="false">VLOOKUP($H163,DM_CA_LAM!$A$4:$C$6,3,FALSE())</f>
        <v>17:30</v>
      </c>
      <c r="K163" s="9" t="s">
        <v>92</v>
      </c>
      <c r="L163" s="9" t="s">
        <v>93</v>
      </c>
      <c r="M163" s="9" t="n">
        <f aca="false">IF($K163="","",MAX(0,ROUND((TIMEVALUE($K163)-TIMEVALUE($I163))*1440,0)))</f>
        <v>0</v>
      </c>
      <c r="N163" s="9" t="n">
        <f aca="false">IF($L163="","",MAX(0,ROUND((TIMEVALUE($J163)-TIMEVALUE($L163))*1440,0)))</f>
        <v>0</v>
      </c>
      <c r="O163" s="9" t="n">
        <f aca="false">IF(OR($K163="",$L163=""),0,ROUND(VLOOKUP($H163,DM_CA_LAM!$A$4:$F$6,6,FALSE())-$M163/60-$N163/60,2))</f>
        <v>8</v>
      </c>
      <c r="P163" s="9" t="s">
        <v>108</v>
      </c>
      <c r="Q163" s="9" t="n">
        <v>0</v>
      </c>
      <c r="R163" s="10"/>
      <c r="S163" s="10"/>
      <c r="T163" s="9" t="str">
        <f aca="false">$B163&amp;"_"&amp;TEXT($F163,"yyyymmdd")</f>
        <v>NV014_20260612</v>
      </c>
      <c r="U163" s="9" t="str">
        <f aca="false">VLOOKUP($P163,DM_TRANG_THAI!$A$4:$B$9,2,FALSE())</f>
        <v>P</v>
      </c>
    </row>
    <row r="164" customFormat="false" ht="15.75" hidden="false" customHeight="true" outlineLevel="0" collapsed="false">
      <c r="A164" s="9" t="n">
        <v>161</v>
      </c>
      <c r="B164" s="9" t="s">
        <v>65</v>
      </c>
      <c r="C164" s="10" t="str">
        <f aca="false">VLOOKUP($B164,DM_NHAN_VIEN!$B$4:$F$18,2,FALSE())</f>
        <v>Trịnh Văn Hùng</v>
      </c>
      <c r="D164" s="9" t="str">
        <f aca="false">VLOOKUP($B164,DM_NHAN_VIEN!$B$4:$F$18,3,FALSE())</f>
        <v>Kế toán</v>
      </c>
      <c r="E164" s="9" t="str">
        <f aca="false">VLOOKUP($B164,DM_NHAN_VIEN!$B$4:$F$18,4,FALSE())</f>
        <v>Phó phòng</v>
      </c>
      <c r="F164" s="18" t="n">
        <v>46185</v>
      </c>
      <c r="G164" s="9" t="str">
        <f aca="false">CHOOSE(WEEKDAY(F164,2),"Thứ Hai","Thứ Ba","Thứ Tư","Thứ Năm","Thứ Sáu","Thứ Bảy","Chủ Nhật")</f>
        <v>Thứ Sáu</v>
      </c>
      <c r="H164" s="9" t="str">
        <f aca="false">VLOOKUP($B164,DM_NHAN_VIEN!$B$4:$F$18,5,FALSE())</f>
        <v>Ca Hành Chính</v>
      </c>
      <c r="I164" s="9" t="str">
        <f aca="false">VLOOKUP($H164,DM_CA_LAM!$A$4:$C$6,2,FALSE())</f>
        <v>07:30</v>
      </c>
      <c r="J164" s="9" t="str">
        <f aca="false">VLOOKUP($H164,DM_CA_LAM!$A$4:$C$6,3,FALSE())</f>
        <v>17:30</v>
      </c>
      <c r="K164" s="9" t="s">
        <v>145</v>
      </c>
      <c r="L164" s="9" t="s">
        <v>144</v>
      </c>
      <c r="M164" s="9" t="n">
        <f aca="false">IF($K164="","",MAX(0,ROUND((TIMEVALUE($K164)-TIMEVALUE($I164))*1440,0)))</f>
        <v>0</v>
      </c>
      <c r="N164" s="9" t="n">
        <f aca="false">IF($L164="","",MAX(0,ROUND((TIMEVALUE($J164)-TIMEVALUE($L164))*1440,0)))</f>
        <v>0</v>
      </c>
      <c r="O164" s="9" t="n">
        <f aca="false">IF(OR($K164="",$L164=""),0,ROUND(VLOOKUP($H164,DM_CA_LAM!$A$4:$F$6,6,FALSE())-$M164/60-$N164/60,2))</f>
        <v>8</v>
      </c>
      <c r="P164" s="9" t="s">
        <v>108</v>
      </c>
      <c r="Q164" s="9" t="n">
        <v>0</v>
      </c>
      <c r="R164" s="10"/>
      <c r="S164" s="10"/>
      <c r="T164" s="9" t="str">
        <f aca="false">$B164&amp;"_"&amp;TEXT($F164,"yyyymmdd")</f>
        <v>NV015_20260612</v>
      </c>
      <c r="U164" s="9" t="str">
        <f aca="false">VLOOKUP($P164,DM_TRANG_THAI!$A$4:$B$9,2,FALSE())</f>
        <v>P</v>
      </c>
    </row>
    <row r="165" customFormat="false" ht="15.75" hidden="false" customHeight="true" outlineLevel="0" collapsed="false">
      <c r="A165" s="9" t="n">
        <v>162</v>
      </c>
      <c r="B165" s="9" t="s">
        <v>68</v>
      </c>
      <c r="C165" s="10" t="str">
        <f aca="false">VLOOKUP($B165,DM_NHAN_VIEN!$B$4:$F$18,2,FALSE())</f>
        <v>Hoàng Văn Lộc</v>
      </c>
      <c r="D165" s="9" t="str">
        <f aca="false">VLOOKUP($B165,DM_NHAN_VIEN!$B$4:$F$18,3,FALSE())</f>
        <v>Kinh doanh</v>
      </c>
      <c r="E165" s="9" t="str">
        <f aca="false">VLOOKUP($B165,DM_NHAN_VIEN!$B$4:$F$18,4,FALSE())</f>
        <v>Trưởng phòng</v>
      </c>
      <c r="F165" s="18" t="n">
        <v>46185</v>
      </c>
      <c r="G165" s="9" t="str">
        <f aca="false">CHOOSE(WEEKDAY(F165,2),"Thứ Hai","Thứ Ba","Thứ Tư","Thứ Năm","Thứ Sáu","Thứ Bảy","Chủ Nhật")</f>
        <v>Thứ Sáu</v>
      </c>
      <c r="H165" s="9" t="str">
        <f aca="false">VLOOKUP($B165,DM_NHAN_VIEN!$B$4:$F$18,5,FALSE())</f>
        <v>Ca Hành Chính</v>
      </c>
      <c r="I165" s="9" t="str">
        <f aca="false">VLOOKUP($H165,DM_CA_LAM!$A$4:$C$6,2,FALSE())</f>
        <v>07:30</v>
      </c>
      <c r="J165" s="9" t="str">
        <f aca="false">VLOOKUP($H165,DM_CA_LAM!$A$4:$C$6,3,FALSE())</f>
        <v>17:30</v>
      </c>
      <c r="K165" s="9" t="s">
        <v>160</v>
      </c>
      <c r="L165" s="9" t="s">
        <v>149</v>
      </c>
      <c r="M165" s="9" t="n">
        <f aca="false">IF($K165="","",MAX(0,ROUND((TIMEVALUE($K165)-TIMEVALUE($I165))*1440,0)))</f>
        <v>0</v>
      </c>
      <c r="N165" s="9" t="n">
        <f aca="false">IF($L165="","",MAX(0,ROUND((TIMEVALUE($J165)-TIMEVALUE($L165))*1440,0)))</f>
        <v>0</v>
      </c>
      <c r="O165" s="9" t="n">
        <f aca="false">IF(OR($K165="",$L165=""),0,ROUND(VLOOKUP($H165,DM_CA_LAM!$A$4:$F$6,6,FALSE())-$M165/60-$N165/60,2))</f>
        <v>8</v>
      </c>
      <c r="P165" s="9" t="s">
        <v>108</v>
      </c>
      <c r="Q165" s="9" t="n">
        <v>0</v>
      </c>
      <c r="R165" s="10"/>
      <c r="S165" s="10"/>
      <c r="T165" s="9" t="str">
        <f aca="false">$B165&amp;"_"&amp;TEXT($F165,"yyyymmdd")</f>
        <v>NV019_20260612</v>
      </c>
      <c r="U165" s="9" t="str">
        <f aca="false">VLOOKUP($P165,DM_TRANG_THAI!$A$4:$B$9,2,FALSE())</f>
        <v>P</v>
      </c>
    </row>
    <row r="166" customFormat="false" ht="15.75" hidden="false" customHeight="true" outlineLevel="0" collapsed="false">
      <c r="A166" s="9" t="n">
        <v>163</v>
      </c>
      <c r="B166" s="9" t="s">
        <v>72</v>
      </c>
      <c r="C166" s="10" t="str">
        <f aca="false">VLOOKUP($B166,DM_NHAN_VIEN!$B$4:$F$18,2,FALSE())</f>
        <v>Nguyễn Văn Phú</v>
      </c>
      <c r="D166" s="9" t="str">
        <f aca="false">VLOOKUP($B166,DM_NHAN_VIEN!$B$4:$F$18,3,FALSE())</f>
        <v>Kinh doanh</v>
      </c>
      <c r="E166" s="9" t="str">
        <f aca="false">VLOOKUP($B166,DM_NHAN_VIEN!$B$4:$F$18,4,FALSE())</f>
        <v>Nhân viên</v>
      </c>
      <c r="F166" s="18" t="n">
        <v>46185</v>
      </c>
      <c r="G166" s="9" t="str">
        <f aca="false">CHOOSE(WEEKDAY(F166,2),"Thứ Hai","Thứ Ba","Thứ Tư","Thứ Năm","Thứ Sáu","Thứ Bảy","Chủ Nhật")</f>
        <v>Thứ Sáu</v>
      </c>
      <c r="H166" s="9" t="str">
        <f aca="false">VLOOKUP($B166,DM_NHAN_VIEN!$B$4:$F$18,5,FALSE())</f>
        <v>Ca Hành Chính</v>
      </c>
      <c r="I166" s="9" t="str">
        <f aca="false">VLOOKUP($H166,DM_CA_LAM!$A$4:$C$6,2,FALSE())</f>
        <v>07:30</v>
      </c>
      <c r="J166" s="9" t="str">
        <f aca="false">VLOOKUP($H166,DM_CA_LAM!$A$4:$C$6,3,FALSE())</f>
        <v>17:30</v>
      </c>
      <c r="K166" s="9" t="s">
        <v>156</v>
      </c>
      <c r="L166" s="9" t="s">
        <v>183</v>
      </c>
      <c r="M166" s="9" t="n">
        <f aca="false">IF($K166="","",MAX(0,ROUND((TIMEVALUE($K166)-TIMEVALUE($I166))*1440,0)))</f>
        <v>0</v>
      </c>
      <c r="N166" s="9" t="n">
        <f aca="false">IF($L166="","",MAX(0,ROUND((TIMEVALUE($J166)-TIMEVALUE($L166))*1440,0)))</f>
        <v>0</v>
      </c>
      <c r="O166" s="9" t="n">
        <f aca="false">IF(OR($K166="",$L166=""),0,ROUND(VLOOKUP($H166,DM_CA_LAM!$A$4:$F$6,6,FALSE())-$M166/60-$N166/60,2))</f>
        <v>8</v>
      </c>
      <c r="P166" s="9" t="s">
        <v>108</v>
      </c>
      <c r="Q166" s="9" t="n">
        <v>1</v>
      </c>
      <c r="R166" s="10" t="s">
        <v>179</v>
      </c>
      <c r="S166" s="10"/>
      <c r="T166" s="9" t="str">
        <f aca="false">$B166&amp;"_"&amp;TEXT($F166,"yyyymmdd")</f>
        <v>NV021_20260612</v>
      </c>
      <c r="U166" s="9" t="str">
        <f aca="false">VLOOKUP($P166,DM_TRANG_THAI!$A$4:$B$9,2,FALSE())</f>
        <v>P</v>
      </c>
    </row>
    <row r="167" customFormat="false" ht="15.75" hidden="false" customHeight="true" outlineLevel="0" collapsed="false">
      <c r="A167" s="9" t="n">
        <v>164</v>
      </c>
      <c r="B167" s="9" t="s">
        <v>76</v>
      </c>
      <c r="C167" s="10" t="str">
        <f aca="false">VLOOKUP($B167,DM_NHAN_VIEN!$B$4:$F$18,2,FALSE())</f>
        <v>Lý Văn Dũng</v>
      </c>
      <c r="D167" s="9" t="str">
        <f aca="false">VLOOKUP($B167,DM_NHAN_VIEN!$B$4:$F$18,3,FALSE())</f>
        <v>Xưởng sản xuất</v>
      </c>
      <c r="E167" s="9" t="str">
        <f aca="false">VLOOKUP($B167,DM_NHAN_VIEN!$B$4:$F$18,4,FALSE())</f>
        <v>Tổ trưởng</v>
      </c>
      <c r="F167" s="18" t="n">
        <v>46185</v>
      </c>
      <c r="G167" s="9" t="str">
        <f aca="false">CHOOSE(WEEKDAY(F167,2),"Thứ Hai","Thứ Ba","Thứ Tư","Thứ Năm","Thứ Sáu","Thứ Bảy","Chủ Nhật")</f>
        <v>Thứ Sáu</v>
      </c>
      <c r="H167" s="9" t="str">
        <f aca="false">VLOOKUP($B167,DM_NHAN_VIEN!$B$4:$F$18,5,FALSE())</f>
        <v>Ca Hành Chính</v>
      </c>
      <c r="I167" s="9" t="str">
        <f aca="false">VLOOKUP($H167,DM_CA_LAM!$A$4:$C$6,2,FALSE())</f>
        <v>07:30</v>
      </c>
      <c r="J167" s="9" t="str">
        <f aca="false">VLOOKUP($H167,DM_CA_LAM!$A$4:$C$6,3,FALSE())</f>
        <v>17:30</v>
      </c>
      <c r="K167" s="9" t="s">
        <v>150</v>
      </c>
      <c r="L167" s="9" t="s">
        <v>183</v>
      </c>
      <c r="M167" s="9" t="n">
        <f aca="false">IF($K167="","",MAX(0,ROUND((TIMEVALUE($K167)-TIMEVALUE($I167))*1440,0)))</f>
        <v>0</v>
      </c>
      <c r="N167" s="9" t="n">
        <f aca="false">IF($L167="","",MAX(0,ROUND((TIMEVALUE($J167)-TIMEVALUE($L167))*1440,0)))</f>
        <v>0</v>
      </c>
      <c r="O167" s="9" t="n">
        <f aca="false">IF(OR($K167="",$L167=""),0,ROUND(VLOOKUP($H167,DM_CA_LAM!$A$4:$F$6,6,FALSE())-$M167/60-$N167/60,2))</f>
        <v>8</v>
      </c>
      <c r="P167" s="9" t="s">
        <v>108</v>
      </c>
      <c r="Q167" s="9" t="n">
        <v>0</v>
      </c>
      <c r="R167" s="10"/>
      <c r="S167" s="10"/>
      <c r="T167" s="9" t="str">
        <f aca="false">$B167&amp;"_"&amp;TEXT($F167,"yyyymmdd")</f>
        <v>NV029_20260612</v>
      </c>
      <c r="U167" s="9" t="str">
        <f aca="false">VLOOKUP($P167,DM_TRANG_THAI!$A$4:$B$9,2,FALSE())</f>
        <v>P</v>
      </c>
    </row>
    <row r="168" customFormat="false" ht="15.75" hidden="false" customHeight="true" outlineLevel="0" collapsed="false">
      <c r="A168" s="9" t="n">
        <v>165</v>
      </c>
      <c r="B168" s="9" t="s">
        <v>80</v>
      </c>
      <c r="C168" s="10" t="str">
        <f aca="false">VLOOKUP($B168,DM_NHAN_VIEN!$B$4:$F$18,2,FALSE())</f>
        <v>Tống Văn Thắng</v>
      </c>
      <c r="D168" s="9" t="str">
        <f aca="false">VLOOKUP($B168,DM_NHAN_VIEN!$B$4:$F$18,3,FALSE())</f>
        <v>Xưởng sản xuất</v>
      </c>
      <c r="E168" s="9" t="str">
        <f aca="false">VLOOKUP($B168,DM_NHAN_VIEN!$B$4:$F$18,4,FALSE())</f>
        <v>Tổ trưởng</v>
      </c>
      <c r="F168" s="18" t="n">
        <v>46185</v>
      </c>
      <c r="G168" s="9" t="str">
        <f aca="false">CHOOSE(WEEKDAY(F168,2),"Thứ Hai","Thứ Ba","Thứ Tư","Thứ Năm","Thứ Sáu","Thứ Bảy","Chủ Nhật")</f>
        <v>Thứ Sáu</v>
      </c>
      <c r="H168" s="9" t="str">
        <f aca="false">VLOOKUP($B168,DM_NHAN_VIEN!$B$4:$F$18,5,FALSE())</f>
        <v>Ca Hành Chính</v>
      </c>
      <c r="I168" s="9" t="str">
        <f aca="false">VLOOKUP($H168,DM_CA_LAM!$A$4:$C$6,2,FALSE())</f>
        <v>07:30</v>
      </c>
      <c r="J168" s="9" t="str">
        <f aca="false">VLOOKUP($H168,DM_CA_LAM!$A$4:$C$6,3,FALSE())</f>
        <v>17:30</v>
      </c>
      <c r="K168" s="9" t="s">
        <v>187</v>
      </c>
      <c r="L168" s="9" t="s">
        <v>174</v>
      </c>
      <c r="M168" s="9" t="n">
        <f aca="false">IF($K168="","",MAX(0,ROUND((TIMEVALUE($K168)-TIMEVALUE($I168))*1440,0)))</f>
        <v>25</v>
      </c>
      <c r="N168" s="9" t="n">
        <f aca="false">IF($L168="","",MAX(0,ROUND((TIMEVALUE($J168)-TIMEVALUE($L168))*1440,0)))</f>
        <v>0</v>
      </c>
      <c r="O168" s="9" t="n">
        <f aca="false">IF(OR($K168="",$L168=""),0,ROUND(VLOOKUP($H168,DM_CA_LAM!$A$4:$F$6,6,FALSE())-$M168/60-$N168/60,2))</f>
        <v>7.58</v>
      </c>
      <c r="P168" s="9" t="s">
        <v>111</v>
      </c>
      <c r="Q168" s="9" t="n">
        <v>0</v>
      </c>
      <c r="R168" s="10"/>
      <c r="S168" s="10" t="s">
        <v>182</v>
      </c>
      <c r="T168" s="9" t="str">
        <f aca="false">$B168&amp;"_"&amp;TEXT($F168,"yyyymmdd")</f>
        <v>NV030_20260612</v>
      </c>
      <c r="U168" s="9" t="str">
        <f aca="false">VLOOKUP($P168,DM_TRANG_THAI!$A$4:$B$9,2,FALSE())</f>
        <v>L</v>
      </c>
    </row>
    <row r="169" customFormat="false" ht="15.75" hidden="false" customHeight="true" outlineLevel="0" collapsed="false">
      <c r="A169" s="9" t="n">
        <v>166</v>
      </c>
      <c r="B169" s="9" t="s">
        <v>24</v>
      </c>
      <c r="C169" s="10" t="str">
        <f aca="false">VLOOKUP($B169,DM_NHAN_VIEN!$B$4:$F$18,2,FALSE())</f>
        <v>Nguyễn Văn Giám Đốc</v>
      </c>
      <c r="D169" s="9" t="str">
        <f aca="false">VLOOKUP($B169,DM_NHAN_VIEN!$B$4:$F$18,3,FALSE())</f>
        <v>Hành chính</v>
      </c>
      <c r="E169" s="9" t="str">
        <f aca="false">VLOOKUP($B169,DM_NHAN_VIEN!$B$4:$F$18,4,FALSE())</f>
        <v>Giám đốc</v>
      </c>
      <c r="F169" s="18" t="n">
        <v>46186</v>
      </c>
      <c r="G169" s="9" t="str">
        <f aca="false">CHOOSE(WEEKDAY(F169,2),"Thứ Hai","Thứ Ba","Thứ Tư","Thứ Năm","Thứ Sáu","Thứ Bảy","Chủ Nhật")</f>
        <v>Thứ Bảy</v>
      </c>
      <c r="H169" s="9" t="str">
        <f aca="false">VLOOKUP($B169,DM_NHAN_VIEN!$B$4:$F$18,5,FALSE())</f>
        <v>Ca Hành Chính</v>
      </c>
      <c r="I169" s="9" t="str">
        <f aca="false">VLOOKUP($H169,DM_CA_LAM!$A$4:$C$6,2,FALSE())</f>
        <v>07:30</v>
      </c>
      <c r="J169" s="9" t="str">
        <f aca="false">VLOOKUP($H169,DM_CA_LAM!$A$4:$C$6,3,FALSE())</f>
        <v>17:30</v>
      </c>
      <c r="K169" s="9" t="s">
        <v>158</v>
      </c>
      <c r="L169" s="9" t="s">
        <v>149</v>
      </c>
      <c r="M169" s="9" t="n">
        <f aca="false">IF($K169="","",MAX(0,ROUND((TIMEVALUE($K169)-TIMEVALUE($I169))*1440,0)))</f>
        <v>0</v>
      </c>
      <c r="N169" s="9" t="n">
        <f aca="false">IF($L169="","",MAX(0,ROUND((TIMEVALUE($J169)-TIMEVALUE($L169))*1440,0)))</f>
        <v>0</v>
      </c>
      <c r="O169" s="9" t="n">
        <f aca="false">IF(OR($K169="",$L169=""),0,ROUND(VLOOKUP($H169,DM_CA_LAM!$A$4:$F$6,6,FALSE())-$M169/60-$N169/60,2))</f>
        <v>8</v>
      </c>
      <c r="P169" s="9" t="s">
        <v>108</v>
      </c>
      <c r="Q169" s="9" t="n">
        <v>0</v>
      </c>
      <c r="R169" s="10"/>
      <c r="S169" s="10"/>
      <c r="T169" s="9" t="str">
        <f aca="false">$B169&amp;"_"&amp;TEXT($F169,"yyyymmdd")</f>
        <v>NV002_20260613</v>
      </c>
      <c r="U169" s="9" t="str">
        <f aca="false">VLOOKUP($P169,DM_TRANG_THAI!$A$4:$B$9,2,FALSE())</f>
        <v>P</v>
      </c>
    </row>
    <row r="170" customFormat="false" ht="15.75" hidden="false" customHeight="true" outlineLevel="0" collapsed="false">
      <c r="A170" s="9" t="n">
        <v>167</v>
      </c>
      <c r="B170" s="9" t="s">
        <v>30</v>
      </c>
      <c r="C170" s="10" t="str">
        <f aca="false">VLOOKUP($B170,DM_NHAN_VIEN!$B$4:$F$18,2,FALSE())</f>
        <v>Trần Thị Nhân Sự</v>
      </c>
      <c r="D170" s="9" t="str">
        <f aca="false">VLOOKUP($B170,DM_NHAN_VIEN!$B$4:$F$18,3,FALSE())</f>
        <v>Nhân sự</v>
      </c>
      <c r="E170" s="9" t="str">
        <f aca="false">VLOOKUP($B170,DM_NHAN_VIEN!$B$4:$F$18,4,FALSE())</f>
        <v>Trưởng phòng</v>
      </c>
      <c r="F170" s="18" t="n">
        <v>46186</v>
      </c>
      <c r="G170" s="9" t="str">
        <f aca="false">CHOOSE(WEEKDAY(F170,2),"Thứ Hai","Thứ Ba","Thứ Tư","Thứ Năm","Thứ Sáu","Thứ Bảy","Chủ Nhật")</f>
        <v>Thứ Bảy</v>
      </c>
      <c r="H170" s="9" t="str">
        <f aca="false">VLOOKUP($B170,DM_NHAN_VIEN!$B$4:$F$18,5,FALSE())</f>
        <v>Ca Hành Chính</v>
      </c>
      <c r="I170" s="9" t="str">
        <f aca="false">VLOOKUP($H170,DM_CA_LAM!$A$4:$C$6,2,FALSE())</f>
        <v>07:30</v>
      </c>
      <c r="J170" s="9" t="str">
        <f aca="false">VLOOKUP($H170,DM_CA_LAM!$A$4:$C$6,3,FALSE())</f>
        <v>17:30</v>
      </c>
      <c r="K170" s="9" t="s">
        <v>181</v>
      </c>
      <c r="L170" s="9" t="s">
        <v>144</v>
      </c>
      <c r="M170" s="9" t="n">
        <f aca="false">IF($K170="","",MAX(0,ROUND((TIMEVALUE($K170)-TIMEVALUE($I170))*1440,0)))</f>
        <v>14</v>
      </c>
      <c r="N170" s="9" t="n">
        <f aca="false">IF($L170="","",MAX(0,ROUND((TIMEVALUE($J170)-TIMEVALUE($L170))*1440,0)))</f>
        <v>0</v>
      </c>
      <c r="O170" s="9" t="n">
        <f aca="false">IF(OR($K170="",$L170=""),0,ROUND(VLOOKUP($H170,DM_CA_LAM!$A$4:$F$6,6,FALSE())-$M170/60-$N170/60,2))</f>
        <v>7.77</v>
      </c>
      <c r="P170" s="9" t="s">
        <v>111</v>
      </c>
      <c r="Q170" s="9" t="n">
        <v>0</v>
      </c>
      <c r="R170" s="10"/>
      <c r="S170" s="10" t="s">
        <v>154</v>
      </c>
      <c r="T170" s="9" t="str">
        <f aca="false">$B170&amp;"_"&amp;TEXT($F170,"yyyymmdd")</f>
        <v>NV003_20260613</v>
      </c>
      <c r="U170" s="9" t="str">
        <f aca="false">VLOOKUP($P170,DM_TRANG_THAI!$A$4:$B$9,2,FALSE())</f>
        <v>L</v>
      </c>
    </row>
    <row r="171" customFormat="false" ht="15.75" hidden="false" customHeight="true" outlineLevel="0" collapsed="false">
      <c r="A171" s="9" t="n">
        <v>168</v>
      </c>
      <c r="B171" s="9" t="s">
        <v>35</v>
      </c>
      <c r="C171" s="10" t="str">
        <f aca="false">VLOOKUP($B171,DM_NHAN_VIEN!$B$4:$F$18,2,FALSE())</f>
        <v>Lê Văn Quản Đốc</v>
      </c>
      <c r="D171" s="9" t="str">
        <f aca="false">VLOOKUP($B171,DM_NHAN_VIEN!$B$4:$F$18,3,FALSE())</f>
        <v>Xưởng sản xuất</v>
      </c>
      <c r="E171" s="9" t="str">
        <f aca="false">VLOOKUP($B171,DM_NHAN_VIEN!$B$4:$F$18,4,FALSE())</f>
        <v>Quản đốc</v>
      </c>
      <c r="F171" s="18" t="n">
        <v>46186</v>
      </c>
      <c r="G171" s="9" t="str">
        <f aca="false">CHOOSE(WEEKDAY(F171,2),"Thứ Hai","Thứ Ba","Thứ Tư","Thứ Năm","Thứ Sáu","Thứ Bảy","Chủ Nhật")</f>
        <v>Thứ Bảy</v>
      </c>
      <c r="H171" s="9" t="str">
        <f aca="false">VLOOKUP($B171,DM_NHAN_VIEN!$B$4:$F$18,5,FALSE())</f>
        <v>Ca Hành Chính</v>
      </c>
      <c r="I171" s="9" t="str">
        <f aca="false">VLOOKUP($H171,DM_CA_LAM!$A$4:$C$6,2,FALSE())</f>
        <v>07:30</v>
      </c>
      <c r="J171" s="9" t="str">
        <f aca="false">VLOOKUP($H171,DM_CA_LAM!$A$4:$C$6,3,FALSE())</f>
        <v>17:30</v>
      </c>
      <c r="K171" s="9"/>
      <c r="L171" s="9"/>
      <c r="M171" s="9" t="str">
        <f aca="false">IF($K171="","",MAX(0,ROUND((TIMEVALUE($K171)-TIMEVALUE($I171))*1440,0)))</f>
        <v/>
      </c>
      <c r="N171" s="9" t="str">
        <f aca="false">IF($L171="","",MAX(0,ROUND((TIMEVALUE($J171)-TIMEVALUE($L171))*1440,0)))</f>
        <v/>
      </c>
      <c r="O171" s="9" t="n">
        <f aca="false">IF(OR($K171="",$L171=""),0,ROUND(VLOOKUP($H171,DM_CA_LAM!$A$4:$F$6,6,FALSE())-$M171/60-$N171/60,2))</f>
        <v>0</v>
      </c>
      <c r="P171" s="9" t="s">
        <v>120</v>
      </c>
      <c r="Q171" s="9" t="n">
        <v>0</v>
      </c>
      <c r="R171" s="10"/>
      <c r="S171" s="10"/>
      <c r="T171" s="9" t="str">
        <f aca="false">$B171&amp;"_"&amp;TEXT($F171,"yyyymmdd")</f>
        <v>NV004_20260613</v>
      </c>
      <c r="U171" s="9" t="str">
        <f aca="false">VLOOKUP($P171,DM_TRANG_THAI!$A$4:$B$9,2,FALSE())</f>
        <v>KL</v>
      </c>
    </row>
    <row r="172" customFormat="false" ht="15.75" hidden="false" customHeight="true" outlineLevel="0" collapsed="false">
      <c r="A172" s="9" t="n">
        <v>169</v>
      </c>
      <c r="B172" s="9" t="s">
        <v>40</v>
      </c>
      <c r="C172" s="10" t="str">
        <f aca="false">VLOOKUP($B172,DM_NHAN_VIEN!$B$4:$F$18,2,FALSE())</f>
        <v>Phạm Công Nhân</v>
      </c>
      <c r="D172" s="9" t="str">
        <f aca="false">VLOOKUP($B172,DM_NHAN_VIEN!$B$4:$F$18,3,FALSE())</f>
        <v>Xưởng sản xuất</v>
      </c>
      <c r="E172" s="9" t="str">
        <f aca="false">VLOOKUP($B172,DM_NHAN_VIEN!$B$4:$F$18,4,FALSE())</f>
        <v>Công nhân</v>
      </c>
      <c r="F172" s="18" t="n">
        <v>46186</v>
      </c>
      <c r="G172" s="9" t="str">
        <f aca="false">CHOOSE(WEEKDAY(F172,2),"Thứ Hai","Thứ Ba","Thứ Tư","Thứ Năm","Thứ Sáu","Thứ Bảy","Chủ Nhật")</f>
        <v>Thứ Bảy</v>
      </c>
      <c r="H172" s="9" t="str">
        <f aca="false">VLOOKUP($B172,DM_NHAN_VIEN!$B$4:$F$18,5,FALSE())</f>
        <v>Ca Hành Chính</v>
      </c>
      <c r="I172" s="9" t="str">
        <f aca="false">VLOOKUP($H172,DM_CA_LAM!$A$4:$C$6,2,FALSE())</f>
        <v>07:30</v>
      </c>
      <c r="J172" s="9" t="str">
        <f aca="false">VLOOKUP($H172,DM_CA_LAM!$A$4:$C$6,3,FALSE())</f>
        <v>17:30</v>
      </c>
      <c r="K172" s="9" t="s">
        <v>156</v>
      </c>
      <c r="L172" s="9" t="s">
        <v>144</v>
      </c>
      <c r="M172" s="9" t="n">
        <f aca="false">IF($K172="","",MAX(0,ROUND((TIMEVALUE($K172)-TIMEVALUE($I172))*1440,0)))</f>
        <v>0</v>
      </c>
      <c r="N172" s="9" t="n">
        <f aca="false">IF($L172="","",MAX(0,ROUND((TIMEVALUE($J172)-TIMEVALUE($L172))*1440,0)))</f>
        <v>0</v>
      </c>
      <c r="O172" s="9" t="n">
        <f aca="false">IF(OR($K172="",$L172=""),0,ROUND(VLOOKUP($H172,DM_CA_LAM!$A$4:$F$6,6,FALSE())-$M172/60-$N172/60,2))</f>
        <v>8</v>
      </c>
      <c r="P172" s="9" t="s">
        <v>108</v>
      </c>
      <c r="Q172" s="9" t="n">
        <v>0</v>
      </c>
      <c r="R172" s="10"/>
      <c r="S172" s="10"/>
      <c r="T172" s="9" t="str">
        <f aca="false">$B172&amp;"_"&amp;TEXT($F172,"yyyymmdd")</f>
        <v>NV005_20260613</v>
      </c>
      <c r="U172" s="9" t="str">
        <f aca="false">VLOOKUP($P172,DM_TRANG_THAI!$A$4:$B$9,2,FALSE())</f>
        <v>P</v>
      </c>
    </row>
    <row r="173" customFormat="false" ht="15.75" hidden="false" customHeight="true" outlineLevel="0" collapsed="false">
      <c r="A173" s="9" t="n">
        <v>170</v>
      </c>
      <c r="B173" s="9" t="s">
        <v>44</v>
      </c>
      <c r="C173" s="10" t="str">
        <f aca="false">VLOOKUP($B173,DM_NHAN_VIEN!$B$4:$F$18,2,FALSE())</f>
        <v>Đỗ Thị Hà</v>
      </c>
      <c r="D173" s="9" t="str">
        <f aca="false">VLOOKUP($B173,DM_NHAN_VIEN!$B$4:$F$18,3,FALSE())</f>
        <v>Hành chính</v>
      </c>
      <c r="E173" s="9" t="str">
        <f aca="false">VLOOKUP($B173,DM_NHAN_VIEN!$B$4:$F$18,4,FALSE())</f>
        <v>Trưởng phòng</v>
      </c>
      <c r="F173" s="18" t="n">
        <v>46186</v>
      </c>
      <c r="G173" s="9" t="str">
        <f aca="false">CHOOSE(WEEKDAY(F173,2),"Thứ Hai","Thứ Ba","Thứ Tư","Thứ Năm","Thứ Sáu","Thứ Bảy","Chủ Nhật")</f>
        <v>Thứ Bảy</v>
      </c>
      <c r="H173" s="9" t="str">
        <f aca="false">VLOOKUP($B173,DM_NHAN_VIEN!$B$4:$F$18,5,FALSE())</f>
        <v>Ca Hành Chính</v>
      </c>
      <c r="I173" s="9" t="str">
        <f aca="false">VLOOKUP($H173,DM_CA_LAM!$A$4:$C$6,2,FALSE())</f>
        <v>07:30</v>
      </c>
      <c r="J173" s="9" t="str">
        <f aca="false">VLOOKUP($H173,DM_CA_LAM!$A$4:$C$6,3,FALSE())</f>
        <v>17:30</v>
      </c>
      <c r="K173" s="9" t="s">
        <v>147</v>
      </c>
      <c r="L173" s="9" t="s">
        <v>146</v>
      </c>
      <c r="M173" s="9" t="n">
        <f aca="false">IF($K173="","",MAX(0,ROUND((TIMEVALUE($K173)-TIMEVALUE($I173))*1440,0)))</f>
        <v>0</v>
      </c>
      <c r="N173" s="9" t="n">
        <f aca="false">IF($L173="","",MAX(0,ROUND((TIMEVALUE($J173)-TIMEVALUE($L173))*1440,0)))</f>
        <v>0</v>
      </c>
      <c r="O173" s="9" t="n">
        <f aca="false">IF(OR($K173="",$L173=""),0,ROUND(VLOOKUP($H173,DM_CA_LAM!$A$4:$F$6,6,FALSE())-$M173/60-$N173/60,2))</f>
        <v>8</v>
      </c>
      <c r="P173" s="9" t="s">
        <v>108</v>
      </c>
      <c r="Q173" s="9" t="n">
        <v>1.5</v>
      </c>
      <c r="R173" s="10" t="s">
        <v>151</v>
      </c>
      <c r="S173" s="10"/>
      <c r="T173" s="9" t="str">
        <f aca="false">$B173&amp;"_"&amp;TEXT($F173,"yyyymmdd")</f>
        <v>NV006_20260613</v>
      </c>
      <c r="U173" s="9" t="str">
        <f aca="false">VLOOKUP($P173,DM_TRANG_THAI!$A$4:$B$9,2,FALSE())</f>
        <v>P</v>
      </c>
    </row>
    <row r="174" customFormat="false" ht="15.75" hidden="false" customHeight="true" outlineLevel="0" collapsed="false">
      <c r="A174" s="9" t="n">
        <v>171</v>
      </c>
      <c r="B174" s="9" t="s">
        <v>47</v>
      </c>
      <c r="C174" s="10" t="str">
        <f aca="false">VLOOKUP($B174,DM_NHAN_VIEN!$B$4:$F$18,2,FALSE())</f>
        <v>Ngô Văn Tài</v>
      </c>
      <c r="D174" s="9" t="str">
        <f aca="false">VLOOKUP($B174,DM_NHAN_VIEN!$B$4:$F$18,3,FALSE())</f>
        <v>Hành chính</v>
      </c>
      <c r="E174" s="9" t="str">
        <f aca="false">VLOOKUP($B174,DM_NHAN_VIEN!$B$4:$F$18,4,FALSE())</f>
        <v>Phó phòng</v>
      </c>
      <c r="F174" s="18" t="n">
        <v>46186</v>
      </c>
      <c r="G174" s="9" t="str">
        <f aca="false">CHOOSE(WEEKDAY(F174,2),"Thứ Hai","Thứ Ba","Thứ Tư","Thứ Năm","Thứ Sáu","Thứ Bảy","Chủ Nhật")</f>
        <v>Thứ Bảy</v>
      </c>
      <c r="H174" s="9" t="str">
        <f aca="false">VLOOKUP($B174,DM_NHAN_VIEN!$B$4:$F$18,5,FALSE())</f>
        <v>Ca Hành Chính</v>
      </c>
      <c r="I174" s="9" t="str">
        <f aca="false">VLOOKUP($H174,DM_CA_LAM!$A$4:$C$6,2,FALSE())</f>
        <v>07:30</v>
      </c>
      <c r="J174" s="9" t="str">
        <f aca="false">VLOOKUP($H174,DM_CA_LAM!$A$4:$C$6,3,FALSE())</f>
        <v>17:30</v>
      </c>
      <c r="K174" s="9" t="s">
        <v>145</v>
      </c>
      <c r="L174" s="9" t="s">
        <v>143</v>
      </c>
      <c r="M174" s="9" t="n">
        <f aca="false">IF($K174="","",MAX(0,ROUND((TIMEVALUE($K174)-TIMEVALUE($I174))*1440,0)))</f>
        <v>0</v>
      </c>
      <c r="N174" s="9" t="n">
        <f aca="false">IF($L174="","",MAX(0,ROUND((TIMEVALUE($J174)-TIMEVALUE($L174))*1440,0)))</f>
        <v>0</v>
      </c>
      <c r="O174" s="9" t="n">
        <f aca="false">IF(OR($K174="",$L174=""),0,ROUND(VLOOKUP($H174,DM_CA_LAM!$A$4:$F$6,6,FALSE())-$M174/60-$N174/60,2))</f>
        <v>8</v>
      </c>
      <c r="P174" s="9" t="s">
        <v>108</v>
      </c>
      <c r="Q174" s="9" t="n">
        <v>0</v>
      </c>
      <c r="R174" s="10"/>
      <c r="S174" s="10"/>
      <c r="T174" s="9" t="str">
        <f aca="false">$B174&amp;"_"&amp;TEXT($F174,"yyyymmdd")</f>
        <v>NV007_20260613</v>
      </c>
      <c r="U174" s="9" t="str">
        <f aca="false">VLOOKUP($P174,DM_TRANG_THAI!$A$4:$B$9,2,FALSE())</f>
        <v>P</v>
      </c>
    </row>
    <row r="175" customFormat="false" ht="15.75" hidden="false" customHeight="true" outlineLevel="0" collapsed="false">
      <c r="A175" s="9" t="n">
        <v>172</v>
      </c>
      <c r="B175" s="9" t="s">
        <v>51</v>
      </c>
      <c r="C175" s="10" t="str">
        <f aca="false">VLOOKUP($B175,DM_NHAN_VIEN!$B$4:$F$18,2,FALSE())</f>
        <v>Vũ Thị Nga</v>
      </c>
      <c r="D175" s="9" t="str">
        <f aca="false">VLOOKUP($B175,DM_NHAN_VIEN!$B$4:$F$18,3,FALSE())</f>
        <v>Hành chính</v>
      </c>
      <c r="E175" s="9" t="str">
        <f aca="false">VLOOKUP($B175,DM_NHAN_VIEN!$B$4:$F$18,4,FALSE())</f>
        <v>Chuyên viên</v>
      </c>
      <c r="F175" s="18" t="n">
        <v>46186</v>
      </c>
      <c r="G175" s="9" t="str">
        <f aca="false">CHOOSE(WEEKDAY(F175,2),"Thứ Hai","Thứ Ba","Thứ Tư","Thứ Năm","Thứ Sáu","Thứ Bảy","Chủ Nhật")</f>
        <v>Thứ Bảy</v>
      </c>
      <c r="H175" s="9" t="str">
        <f aca="false">VLOOKUP($B175,DM_NHAN_VIEN!$B$4:$F$18,5,FALSE())</f>
        <v>Ca Hành Chính</v>
      </c>
      <c r="I175" s="9" t="str">
        <f aca="false">VLOOKUP($H175,DM_CA_LAM!$A$4:$C$6,2,FALSE())</f>
        <v>07:30</v>
      </c>
      <c r="J175" s="9" t="str">
        <f aca="false">VLOOKUP($H175,DM_CA_LAM!$A$4:$C$6,3,FALSE())</f>
        <v>17:30</v>
      </c>
      <c r="K175" s="9" t="s">
        <v>92</v>
      </c>
      <c r="L175" s="9" t="s">
        <v>183</v>
      </c>
      <c r="M175" s="9" t="n">
        <f aca="false">IF($K175="","",MAX(0,ROUND((TIMEVALUE($K175)-TIMEVALUE($I175))*1440,0)))</f>
        <v>0</v>
      </c>
      <c r="N175" s="9" t="n">
        <f aca="false">IF($L175="","",MAX(0,ROUND((TIMEVALUE($J175)-TIMEVALUE($L175))*1440,0)))</f>
        <v>0</v>
      </c>
      <c r="O175" s="9" t="n">
        <f aca="false">IF(OR($K175="",$L175=""),0,ROUND(VLOOKUP($H175,DM_CA_LAM!$A$4:$F$6,6,FALSE())-$M175/60-$N175/60,2))</f>
        <v>8</v>
      </c>
      <c r="P175" s="9" t="s">
        <v>108</v>
      </c>
      <c r="Q175" s="9" t="n">
        <v>0</v>
      </c>
      <c r="R175" s="10"/>
      <c r="S175" s="10"/>
      <c r="T175" s="9" t="str">
        <f aca="false">$B175&amp;"_"&amp;TEXT($F175,"yyyymmdd")</f>
        <v>NV008_20260613</v>
      </c>
      <c r="U175" s="9" t="str">
        <f aca="false">VLOOKUP($P175,DM_TRANG_THAI!$A$4:$B$9,2,FALSE())</f>
        <v>P</v>
      </c>
    </row>
    <row r="176" customFormat="false" ht="15.75" hidden="false" customHeight="true" outlineLevel="0" collapsed="false">
      <c r="A176" s="9" t="n">
        <v>173</v>
      </c>
      <c r="B176" s="9" t="s">
        <v>55</v>
      </c>
      <c r="C176" s="10" t="str">
        <f aca="false">VLOOKUP($B176,DM_NHAN_VIEN!$B$4:$F$18,2,FALSE())</f>
        <v>Đặng Thị Hồng</v>
      </c>
      <c r="D176" s="9" t="str">
        <f aca="false">VLOOKUP($B176,DM_NHAN_VIEN!$B$4:$F$18,3,FALSE())</f>
        <v>Nhân sự</v>
      </c>
      <c r="E176" s="9" t="str">
        <f aca="false">VLOOKUP($B176,DM_NHAN_VIEN!$B$4:$F$18,4,FALSE())</f>
        <v>Chuyên viên</v>
      </c>
      <c r="F176" s="18" t="n">
        <v>46186</v>
      </c>
      <c r="G176" s="9" t="str">
        <f aca="false">CHOOSE(WEEKDAY(F176,2),"Thứ Hai","Thứ Ba","Thứ Tư","Thứ Năm","Thứ Sáu","Thứ Bảy","Chủ Nhật")</f>
        <v>Thứ Bảy</v>
      </c>
      <c r="H176" s="9" t="str">
        <f aca="false">VLOOKUP($B176,DM_NHAN_VIEN!$B$4:$F$18,5,FALSE())</f>
        <v>Ca Hành Chính</v>
      </c>
      <c r="I176" s="9" t="str">
        <f aca="false">VLOOKUP($H176,DM_CA_LAM!$A$4:$C$6,2,FALSE())</f>
        <v>07:30</v>
      </c>
      <c r="J176" s="9" t="str">
        <f aca="false">VLOOKUP($H176,DM_CA_LAM!$A$4:$C$6,3,FALSE())</f>
        <v>17:30</v>
      </c>
      <c r="K176" s="9" t="s">
        <v>156</v>
      </c>
      <c r="L176" s="9" t="s">
        <v>163</v>
      </c>
      <c r="M176" s="9" t="n">
        <f aca="false">IF($K176="","",MAX(0,ROUND((TIMEVALUE($K176)-TIMEVALUE($I176))*1440,0)))</f>
        <v>0</v>
      </c>
      <c r="N176" s="9" t="n">
        <f aca="false">IF($L176="","",MAX(0,ROUND((TIMEVALUE($J176)-TIMEVALUE($L176))*1440,0)))</f>
        <v>0</v>
      </c>
      <c r="O176" s="9" t="n">
        <f aca="false">IF(OR($K176="",$L176=""),0,ROUND(VLOOKUP($H176,DM_CA_LAM!$A$4:$F$6,6,FALSE())-$M176/60-$N176/60,2))</f>
        <v>8</v>
      </c>
      <c r="P176" s="9" t="s">
        <v>108</v>
      </c>
      <c r="Q176" s="9" t="n">
        <v>1.5</v>
      </c>
      <c r="R176" s="10" t="s">
        <v>177</v>
      </c>
      <c r="S176" s="10"/>
      <c r="T176" s="9" t="str">
        <f aca="false">$B176&amp;"_"&amp;TEXT($F176,"yyyymmdd")</f>
        <v>NV010_20260613</v>
      </c>
      <c r="U176" s="9" t="str">
        <f aca="false">VLOOKUP($P176,DM_TRANG_THAI!$A$4:$B$9,2,FALSE())</f>
        <v>P</v>
      </c>
    </row>
    <row r="177" customFormat="false" ht="15.75" hidden="false" customHeight="true" outlineLevel="0" collapsed="false">
      <c r="A177" s="9" t="n">
        <v>174</v>
      </c>
      <c r="B177" s="9" t="s">
        <v>58</v>
      </c>
      <c r="C177" s="10" t="str">
        <f aca="false">VLOOKUP($B177,DM_NHAN_VIEN!$B$4:$F$18,2,FALSE())</f>
        <v>Chu Văn Minh</v>
      </c>
      <c r="D177" s="9" t="str">
        <f aca="false">VLOOKUP($B177,DM_NHAN_VIEN!$B$4:$F$18,3,FALSE())</f>
        <v>Nhân sự</v>
      </c>
      <c r="E177" s="9" t="str">
        <f aca="false">VLOOKUP($B177,DM_NHAN_VIEN!$B$4:$F$18,4,FALSE())</f>
        <v>Chuyên viên</v>
      </c>
      <c r="F177" s="18" t="n">
        <v>46186</v>
      </c>
      <c r="G177" s="9" t="str">
        <f aca="false">CHOOSE(WEEKDAY(F177,2),"Thứ Hai","Thứ Ba","Thứ Tư","Thứ Năm","Thứ Sáu","Thứ Bảy","Chủ Nhật")</f>
        <v>Thứ Bảy</v>
      </c>
      <c r="H177" s="9" t="str">
        <f aca="false">VLOOKUP($B177,DM_NHAN_VIEN!$B$4:$F$18,5,FALSE())</f>
        <v>Ca Hành Chính</v>
      </c>
      <c r="I177" s="9" t="str">
        <f aca="false">VLOOKUP($H177,DM_CA_LAM!$A$4:$C$6,2,FALSE())</f>
        <v>07:30</v>
      </c>
      <c r="J177" s="9" t="str">
        <f aca="false">VLOOKUP($H177,DM_CA_LAM!$A$4:$C$6,3,FALSE())</f>
        <v>17:30</v>
      </c>
      <c r="K177" s="9"/>
      <c r="L177" s="9"/>
      <c r="M177" s="9" t="str">
        <f aca="false">IF($K177="","",MAX(0,ROUND((TIMEVALUE($K177)-TIMEVALUE($I177))*1440,0)))</f>
        <v/>
      </c>
      <c r="N177" s="9" t="str">
        <f aca="false">IF($L177="","",MAX(0,ROUND((TIMEVALUE($J177)-TIMEVALUE($L177))*1440,0)))</f>
        <v/>
      </c>
      <c r="O177" s="9" t="n">
        <f aca="false">IF(OR($K177="",$L177=""),0,ROUND(VLOOKUP($H177,DM_CA_LAM!$A$4:$F$6,6,FALSE())-$M177/60-$N177/60,2))</f>
        <v>0</v>
      </c>
      <c r="P177" s="9" t="s">
        <v>114</v>
      </c>
      <c r="Q177" s="9" t="n">
        <v>0</v>
      </c>
      <c r="R177" s="10"/>
      <c r="S177" s="10"/>
      <c r="T177" s="9" t="str">
        <f aca="false">$B177&amp;"_"&amp;TEXT($F177,"yyyymmdd")</f>
        <v>NV011_20260613</v>
      </c>
      <c r="U177" s="9" t="str">
        <f aca="false">VLOOKUP($P177,DM_TRANG_THAI!$A$4:$B$9,2,FALSE())</f>
        <v>A</v>
      </c>
    </row>
    <row r="178" customFormat="false" ht="15.75" hidden="false" customHeight="true" outlineLevel="0" collapsed="false">
      <c r="A178" s="9" t="n">
        <v>175</v>
      </c>
      <c r="B178" s="9" t="s">
        <v>61</v>
      </c>
      <c r="C178" s="10" t="str">
        <f aca="false">VLOOKUP($B178,DM_NHAN_VIEN!$B$4:$F$18,2,FALSE())</f>
        <v>Phan Thị Khánh</v>
      </c>
      <c r="D178" s="9" t="str">
        <f aca="false">VLOOKUP($B178,DM_NHAN_VIEN!$B$4:$F$18,3,FALSE())</f>
        <v>Kế toán</v>
      </c>
      <c r="E178" s="9" t="str">
        <f aca="false">VLOOKUP($B178,DM_NHAN_VIEN!$B$4:$F$18,4,FALSE())</f>
        <v>Trưởng phòng</v>
      </c>
      <c r="F178" s="18" t="n">
        <v>46186</v>
      </c>
      <c r="G178" s="9" t="str">
        <f aca="false">CHOOSE(WEEKDAY(F178,2),"Thứ Hai","Thứ Ba","Thứ Tư","Thứ Năm","Thứ Sáu","Thứ Bảy","Chủ Nhật")</f>
        <v>Thứ Bảy</v>
      </c>
      <c r="H178" s="9" t="str">
        <f aca="false">VLOOKUP($B178,DM_NHAN_VIEN!$B$4:$F$18,5,FALSE())</f>
        <v>Ca Hành Chính</v>
      </c>
      <c r="I178" s="9" t="str">
        <f aca="false">VLOOKUP($H178,DM_CA_LAM!$A$4:$C$6,2,FALSE())</f>
        <v>07:30</v>
      </c>
      <c r="J178" s="9" t="str">
        <f aca="false">VLOOKUP($H178,DM_CA_LAM!$A$4:$C$6,3,FALSE())</f>
        <v>17:30</v>
      </c>
      <c r="K178" s="9" t="s">
        <v>161</v>
      </c>
      <c r="L178" s="9" t="s">
        <v>174</v>
      </c>
      <c r="M178" s="9" t="n">
        <f aca="false">IF($K178="","",MAX(0,ROUND((TIMEVALUE($K178)-TIMEVALUE($I178))*1440,0)))</f>
        <v>0</v>
      </c>
      <c r="N178" s="9" t="n">
        <f aca="false">IF($L178="","",MAX(0,ROUND((TIMEVALUE($J178)-TIMEVALUE($L178))*1440,0)))</f>
        <v>0</v>
      </c>
      <c r="O178" s="9" t="n">
        <f aca="false">IF(OR($K178="",$L178=""),0,ROUND(VLOOKUP($H178,DM_CA_LAM!$A$4:$F$6,6,FALSE())-$M178/60-$N178/60,2))</f>
        <v>8</v>
      </c>
      <c r="P178" s="9" t="s">
        <v>108</v>
      </c>
      <c r="Q178" s="9" t="n">
        <v>2</v>
      </c>
      <c r="R178" s="10" t="s">
        <v>184</v>
      </c>
      <c r="S178" s="10"/>
      <c r="T178" s="9" t="str">
        <f aca="false">$B178&amp;"_"&amp;TEXT($F178,"yyyymmdd")</f>
        <v>NV014_20260613</v>
      </c>
      <c r="U178" s="9" t="str">
        <f aca="false">VLOOKUP($P178,DM_TRANG_THAI!$A$4:$B$9,2,FALSE())</f>
        <v>P</v>
      </c>
    </row>
    <row r="179" customFormat="false" ht="15.75" hidden="false" customHeight="true" outlineLevel="0" collapsed="false">
      <c r="A179" s="9" t="n">
        <v>176</v>
      </c>
      <c r="B179" s="9" t="s">
        <v>65</v>
      </c>
      <c r="C179" s="10" t="str">
        <f aca="false">VLOOKUP($B179,DM_NHAN_VIEN!$B$4:$F$18,2,FALSE())</f>
        <v>Trịnh Văn Hùng</v>
      </c>
      <c r="D179" s="9" t="str">
        <f aca="false">VLOOKUP($B179,DM_NHAN_VIEN!$B$4:$F$18,3,FALSE())</f>
        <v>Kế toán</v>
      </c>
      <c r="E179" s="9" t="str">
        <f aca="false">VLOOKUP($B179,DM_NHAN_VIEN!$B$4:$F$18,4,FALSE())</f>
        <v>Phó phòng</v>
      </c>
      <c r="F179" s="18" t="n">
        <v>46186</v>
      </c>
      <c r="G179" s="9" t="str">
        <f aca="false">CHOOSE(WEEKDAY(F179,2),"Thứ Hai","Thứ Ba","Thứ Tư","Thứ Năm","Thứ Sáu","Thứ Bảy","Chủ Nhật")</f>
        <v>Thứ Bảy</v>
      </c>
      <c r="H179" s="9" t="str">
        <f aca="false">VLOOKUP($B179,DM_NHAN_VIEN!$B$4:$F$18,5,FALSE())</f>
        <v>Ca Hành Chính</v>
      </c>
      <c r="I179" s="9" t="str">
        <f aca="false">VLOOKUP($H179,DM_CA_LAM!$A$4:$C$6,2,FALSE())</f>
        <v>07:30</v>
      </c>
      <c r="J179" s="9" t="str">
        <f aca="false">VLOOKUP($H179,DM_CA_LAM!$A$4:$C$6,3,FALSE())</f>
        <v>17:30</v>
      </c>
      <c r="K179" s="9" t="s">
        <v>161</v>
      </c>
      <c r="L179" s="9" t="s">
        <v>164</v>
      </c>
      <c r="M179" s="9" t="n">
        <f aca="false">IF($K179="","",MAX(0,ROUND((TIMEVALUE($K179)-TIMEVALUE($I179))*1440,0)))</f>
        <v>0</v>
      </c>
      <c r="N179" s="9" t="n">
        <f aca="false">IF($L179="","",MAX(0,ROUND((TIMEVALUE($J179)-TIMEVALUE($L179))*1440,0)))</f>
        <v>0</v>
      </c>
      <c r="O179" s="9" t="n">
        <f aca="false">IF(OR($K179="",$L179=""),0,ROUND(VLOOKUP($H179,DM_CA_LAM!$A$4:$F$6,6,FALSE())-$M179/60-$N179/60,2))</f>
        <v>8</v>
      </c>
      <c r="P179" s="9" t="s">
        <v>108</v>
      </c>
      <c r="Q179" s="9" t="n">
        <v>0</v>
      </c>
      <c r="R179" s="10"/>
      <c r="S179" s="10"/>
      <c r="T179" s="9" t="str">
        <f aca="false">$B179&amp;"_"&amp;TEXT($F179,"yyyymmdd")</f>
        <v>NV015_20260613</v>
      </c>
      <c r="U179" s="9" t="str">
        <f aca="false">VLOOKUP($P179,DM_TRANG_THAI!$A$4:$B$9,2,FALSE())</f>
        <v>P</v>
      </c>
    </row>
    <row r="180" customFormat="false" ht="15.75" hidden="false" customHeight="true" outlineLevel="0" collapsed="false">
      <c r="A180" s="9" t="n">
        <v>177</v>
      </c>
      <c r="B180" s="9" t="s">
        <v>68</v>
      </c>
      <c r="C180" s="10" t="str">
        <f aca="false">VLOOKUP($B180,DM_NHAN_VIEN!$B$4:$F$18,2,FALSE())</f>
        <v>Hoàng Văn Lộc</v>
      </c>
      <c r="D180" s="9" t="str">
        <f aca="false">VLOOKUP($B180,DM_NHAN_VIEN!$B$4:$F$18,3,FALSE())</f>
        <v>Kinh doanh</v>
      </c>
      <c r="E180" s="9" t="str">
        <f aca="false">VLOOKUP($B180,DM_NHAN_VIEN!$B$4:$F$18,4,FALSE())</f>
        <v>Trưởng phòng</v>
      </c>
      <c r="F180" s="18" t="n">
        <v>46186</v>
      </c>
      <c r="G180" s="9" t="str">
        <f aca="false">CHOOSE(WEEKDAY(F180,2),"Thứ Hai","Thứ Ba","Thứ Tư","Thứ Năm","Thứ Sáu","Thứ Bảy","Chủ Nhật")</f>
        <v>Thứ Bảy</v>
      </c>
      <c r="H180" s="9" t="str">
        <f aca="false">VLOOKUP($B180,DM_NHAN_VIEN!$B$4:$F$18,5,FALSE())</f>
        <v>Ca Hành Chính</v>
      </c>
      <c r="I180" s="9" t="str">
        <f aca="false">VLOOKUP($H180,DM_CA_LAM!$A$4:$C$6,2,FALSE())</f>
        <v>07:30</v>
      </c>
      <c r="J180" s="9" t="str">
        <f aca="false">VLOOKUP($H180,DM_CA_LAM!$A$4:$C$6,3,FALSE())</f>
        <v>17:30</v>
      </c>
      <c r="K180" s="9" t="s">
        <v>188</v>
      </c>
      <c r="L180" s="9" t="s">
        <v>174</v>
      </c>
      <c r="M180" s="9" t="n">
        <f aca="false">IF($K180="","",MAX(0,ROUND((TIMEVALUE($K180)-TIMEVALUE($I180))*1440,0)))</f>
        <v>18</v>
      </c>
      <c r="N180" s="9" t="n">
        <f aca="false">IF($L180="","",MAX(0,ROUND((TIMEVALUE($J180)-TIMEVALUE($L180))*1440,0)))</f>
        <v>0</v>
      </c>
      <c r="O180" s="9" t="n">
        <f aca="false">IF(OR($K180="",$L180=""),0,ROUND(VLOOKUP($H180,DM_CA_LAM!$A$4:$F$6,6,FALSE())-$M180/60-$N180/60,2))</f>
        <v>7.7</v>
      </c>
      <c r="P180" s="9" t="s">
        <v>111</v>
      </c>
      <c r="Q180" s="9" t="n">
        <v>0</v>
      </c>
      <c r="R180" s="10"/>
      <c r="S180" s="10"/>
      <c r="T180" s="9" t="str">
        <f aca="false">$B180&amp;"_"&amp;TEXT($F180,"yyyymmdd")</f>
        <v>NV019_20260613</v>
      </c>
      <c r="U180" s="9" t="str">
        <f aca="false">VLOOKUP($P180,DM_TRANG_THAI!$A$4:$B$9,2,FALSE())</f>
        <v>L</v>
      </c>
    </row>
    <row r="181" customFormat="false" ht="15.75" hidden="false" customHeight="true" outlineLevel="0" collapsed="false">
      <c r="A181" s="9" t="n">
        <v>178</v>
      </c>
      <c r="B181" s="9" t="s">
        <v>72</v>
      </c>
      <c r="C181" s="10" t="str">
        <f aca="false">VLOOKUP($B181,DM_NHAN_VIEN!$B$4:$F$18,2,FALSE())</f>
        <v>Nguyễn Văn Phú</v>
      </c>
      <c r="D181" s="9" t="str">
        <f aca="false">VLOOKUP($B181,DM_NHAN_VIEN!$B$4:$F$18,3,FALSE())</f>
        <v>Kinh doanh</v>
      </c>
      <c r="E181" s="9" t="str">
        <f aca="false">VLOOKUP($B181,DM_NHAN_VIEN!$B$4:$F$18,4,FALSE())</f>
        <v>Nhân viên</v>
      </c>
      <c r="F181" s="18" t="n">
        <v>46186</v>
      </c>
      <c r="G181" s="9" t="str">
        <f aca="false">CHOOSE(WEEKDAY(F181,2),"Thứ Hai","Thứ Ba","Thứ Tư","Thứ Năm","Thứ Sáu","Thứ Bảy","Chủ Nhật")</f>
        <v>Thứ Bảy</v>
      </c>
      <c r="H181" s="9" t="str">
        <f aca="false">VLOOKUP($B181,DM_NHAN_VIEN!$B$4:$F$18,5,FALSE())</f>
        <v>Ca Hành Chính</v>
      </c>
      <c r="I181" s="9" t="str">
        <f aca="false">VLOOKUP($H181,DM_CA_LAM!$A$4:$C$6,2,FALSE())</f>
        <v>07:30</v>
      </c>
      <c r="J181" s="9" t="str">
        <f aca="false">VLOOKUP($H181,DM_CA_LAM!$A$4:$C$6,3,FALSE())</f>
        <v>17:30</v>
      </c>
      <c r="K181" s="9" t="s">
        <v>160</v>
      </c>
      <c r="L181" s="9" t="s">
        <v>146</v>
      </c>
      <c r="M181" s="9" t="n">
        <f aca="false">IF($K181="","",MAX(0,ROUND((TIMEVALUE($K181)-TIMEVALUE($I181))*1440,0)))</f>
        <v>0</v>
      </c>
      <c r="N181" s="9" t="n">
        <f aca="false">IF($L181="","",MAX(0,ROUND((TIMEVALUE($J181)-TIMEVALUE($L181))*1440,0)))</f>
        <v>0</v>
      </c>
      <c r="O181" s="9" t="n">
        <f aca="false">IF(OR($K181="",$L181=""),0,ROUND(VLOOKUP($H181,DM_CA_LAM!$A$4:$F$6,6,FALSE())-$M181/60-$N181/60,2))</f>
        <v>8</v>
      </c>
      <c r="P181" s="9" t="s">
        <v>108</v>
      </c>
      <c r="Q181" s="9" t="n">
        <v>0</v>
      </c>
      <c r="R181" s="10"/>
      <c r="S181" s="10"/>
      <c r="T181" s="9" t="str">
        <f aca="false">$B181&amp;"_"&amp;TEXT($F181,"yyyymmdd")</f>
        <v>NV021_20260613</v>
      </c>
      <c r="U181" s="9" t="str">
        <f aca="false">VLOOKUP($P181,DM_TRANG_THAI!$A$4:$B$9,2,FALSE())</f>
        <v>P</v>
      </c>
    </row>
    <row r="182" customFormat="false" ht="15.75" hidden="false" customHeight="true" outlineLevel="0" collapsed="false">
      <c r="A182" s="9" t="n">
        <v>179</v>
      </c>
      <c r="B182" s="9" t="s">
        <v>76</v>
      </c>
      <c r="C182" s="10" t="str">
        <f aca="false">VLOOKUP($B182,DM_NHAN_VIEN!$B$4:$F$18,2,FALSE())</f>
        <v>Lý Văn Dũng</v>
      </c>
      <c r="D182" s="9" t="str">
        <f aca="false">VLOOKUP($B182,DM_NHAN_VIEN!$B$4:$F$18,3,FALSE())</f>
        <v>Xưởng sản xuất</v>
      </c>
      <c r="E182" s="9" t="str">
        <f aca="false">VLOOKUP($B182,DM_NHAN_VIEN!$B$4:$F$18,4,FALSE())</f>
        <v>Tổ trưởng</v>
      </c>
      <c r="F182" s="18" t="n">
        <v>46186</v>
      </c>
      <c r="G182" s="9" t="str">
        <f aca="false">CHOOSE(WEEKDAY(F182,2),"Thứ Hai","Thứ Ba","Thứ Tư","Thứ Năm","Thứ Sáu","Thứ Bảy","Chủ Nhật")</f>
        <v>Thứ Bảy</v>
      </c>
      <c r="H182" s="9" t="str">
        <f aca="false">VLOOKUP($B182,DM_NHAN_VIEN!$B$4:$F$18,5,FALSE())</f>
        <v>Ca Hành Chính</v>
      </c>
      <c r="I182" s="9" t="str">
        <f aca="false">VLOOKUP($H182,DM_CA_LAM!$A$4:$C$6,2,FALSE())</f>
        <v>07:30</v>
      </c>
      <c r="J182" s="9" t="str">
        <f aca="false">VLOOKUP($H182,DM_CA_LAM!$A$4:$C$6,3,FALSE())</f>
        <v>17:30</v>
      </c>
      <c r="K182" s="9" t="s">
        <v>92</v>
      </c>
      <c r="L182" s="9" t="s">
        <v>157</v>
      </c>
      <c r="M182" s="9" t="n">
        <f aca="false">IF($K182="","",MAX(0,ROUND((TIMEVALUE($K182)-TIMEVALUE($I182))*1440,0)))</f>
        <v>0</v>
      </c>
      <c r="N182" s="9" t="n">
        <f aca="false">IF($L182="","",MAX(0,ROUND((TIMEVALUE($J182)-TIMEVALUE($L182))*1440,0)))</f>
        <v>0</v>
      </c>
      <c r="O182" s="9" t="n">
        <f aca="false">IF(OR($K182="",$L182=""),0,ROUND(VLOOKUP($H182,DM_CA_LAM!$A$4:$F$6,6,FALSE())-$M182/60-$N182/60,2))</f>
        <v>8</v>
      </c>
      <c r="P182" s="9" t="s">
        <v>108</v>
      </c>
      <c r="Q182" s="9" t="n">
        <v>0</v>
      </c>
      <c r="R182" s="10"/>
      <c r="S182" s="10"/>
      <c r="T182" s="9" t="str">
        <f aca="false">$B182&amp;"_"&amp;TEXT($F182,"yyyymmdd")</f>
        <v>NV029_20260613</v>
      </c>
      <c r="U182" s="9" t="str">
        <f aca="false">VLOOKUP($P182,DM_TRANG_THAI!$A$4:$B$9,2,FALSE())</f>
        <v>P</v>
      </c>
    </row>
    <row r="183" customFormat="false" ht="15.75" hidden="false" customHeight="true" outlineLevel="0" collapsed="false">
      <c r="A183" s="9" t="n">
        <v>180</v>
      </c>
      <c r="B183" s="9" t="s">
        <v>80</v>
      </c>
      <c r="C183" s="10" t="str">
        <f aca="false">VLOOKUP($B183,DM_NHAN_VIEN!$B$4:$F$18,2,FALSE())</f>
        <v>Tống Văn Thắng</v>
      </c>
      <c r="D183" s="9" t="str">
        <f aca="false">VLOOKUP($B183,DM_NHAN_VIEN!$B$4:$F$18,3,FALSE())</f>
        <v>Xưởng sản xuất</v>
      </c>
      <c r="E183" s="9" t="str">
        <f aca="false">VLOOKUP($B183,DM_NHAN_VIEN!$B$4:$F$18,4,FALSE())</f>
        <v>Tổ trưởng</v>
      </c>
      <c r="F183" s="18" t="n">
        <v>46186</v>
      </c>
      <c r="G183" s="9" t="str">
        <f aca="false">CHOOSE(WEEKDAY(F183,2),"Thứ Hai","Thứ Ba","Thứ Tư","Thứ Năm","Thứ Sáu","Thứ Bảy","Chủ Nhật")</f>
        <v>Thứ Bảy</v>
      </c>
      <c r="H183" s="9" t="str">
        <f aca="false">VLOOKUP($B183,DM_NHAN_VIEN!$B$4:$F$18,5,FALSE())</f>
        <v>Ca Hành Chính</v>
      </c>
      <c r="I183" s="9" t="str">
        <f aca="false">VLOOKUP($H183,DM_CA_LAM!$A$4:$C$6,2,FALSE())</f>
        <v>07:30</v>
      </c>
      <c r="J183" s="9" t="str">
        <f aca="false">VLOOKUP($H183,DM_CA_LAM!$A$4:$C$6,3,FALSE())</f>
        <v>17:30</v>
      </c>
      <c r="K183" s="9" t="s">
        <v>167</v>
      </c>
      <c r="L183" s="9" t="s">
        <v>153</v>
      </c>
      <c r="M183" s="9" t="n">
        <f aca="false">IF($K183="","",MAX(0,ROUND((TIMEVALUE($K183)-TIMEVALUE($I183))*1440,0)))</f>
        <v>0</v>
      </c>
      <c r="N183" s="9" t="n">
        <f aca="false">IF($L183="","",MAX(0,ROUND((TIMEVALUE($J183)-TIMEVALUE($L183))*1440,0)))</f>
        <v>0</v>
      </c>
      <c r="O183" s="9" t="n">
        <f aca="false">IF(OR($K183="",$L183=""),0,ROUND(VLOOKUP($H183,DM_CA_LAM!$A$4:$F$6,6,FALSE())-$M183/60-$N183/60,2))</f>
        <v>8</v>
      </c>
      <c r="P183" s="9" t="s">
        <v>108</v>
      </c>
      <c r="Q183" s="9" t="n">
        <v>0</v>
      </c>
      <c r="R183" s="10"/>
      <c r="S183" s="10"/>
      <c r="T183" s="9" t="str">
        <f aca="false">$B183&amp;"_"&amp;TEXT($F183,"yyyymmdd")</f>
        <v>NV030_20260613</v>
      </c>
      <c r="U183" s="9" t="str">
        <f aca="false">VLOOKUP($P183,DM_TRANG_THAI!$A$4:$B$9,2,FALSE())</f>
        <v>P</v>
      </c>
    </row>
    <row r="184" customFormat="false" ht="15.75" hidden="false" customHeight="true" outlineLevel="0" collapsed="false">
      <c r="A184" s="9" t="n">
        <v>181</v>
      </c>
      <c r="B184" s="9" t="s">
        <v>24</v>
      </c>
      <c r="C184" s="10" t="str">
        <f aca="false">VLOOKUP($B184,DM_NHAN_VIEN!$B$4:$F$18,2,FALSE())</f>
        <v>Nguyễn Văn Giám Đốc</v>
      </c>
      <c r="D184" s="9" t="str">
        <f aca="false">VLOOKUP($B184,DM_NHAN_VIEN!$B$4:$F$18,3,FALSE())</f>
        <v>Hành chính</v>
      </c>
      <c r="E184" s="9" t="str">
        <f aca="false">VLOOKUP($B184,DM_NHAN_VIEN!$B$4:$F$18,4,FALSE())</f>
        <v>Giám đốc</v>
      </c>
      <c r="F184" s="18" t="n">
        <v>46188</v>
      </c>
      <c r="G184" s="9" t="str">
        <f aca="false">CHOOSE(WEEKDAY(F184,2),"Thứ Hai","Thứ Ba","Thứ Tư","Thứ Năm","Thứ Sáu","Thứ Bảy","Chủ Nhật")</f>
        <v>Thứ Hai</v>
      </c>
      <c r="H184" s="9" t="str">
        <f aca="false">VLOOKUP($B184,DM_NHAN_VIEN!$B$4:$F$18,5,FALSE())</f>
        <v>Ca Hành Chính</v>
      </c>
      <c r="I184" s="9" t="str">
        <f aca="false">VLOOKUP($H184,DM_CA_LAM!$A$4:$C$6,2,FALSE())</f>
        <v>07:30</v>
      </c>
      <c r="J184" s="9" t="str">
        <f aca="false">VLOOKUP($H184,DM_CA_LAM!$A$4:$C$6,3,FALSE())</f>
        <v>17:30</v>
      </c>
      <c r="K184" s="9" t="s">
        <v>156</v>
      </c>
      <c r="L184" s="9" t="s">
        <v>159</v>
      </c>
      <c r="M184" s="9" t="n">
        <f aca="false">IF($K184="","",MAX(0,ROUND((TIMEVALUE($K184)-TIMEVALUE($I184))*1440,0)))</f>
        <v>0</v>
      </c>
      <c r="N184" s="9" t="n">
        <f aca="false">IF($L184="","",MAX(0,ROUND((TIMEVALUE($J184)-TIMEVALUE($L184))*1440,0)))</f>
        <v>0</v>
      </c>
      <c r="O184" s="9" t="n">
        <f aca="false">IF(OR($K184="",$L184=""),0,ROUND(VLOOKUP($H184,DM_CA_LAM!$A$4:$F$6,6,FALSE())-$M184/60-$N184/60,2))</f>
        <v>8</v>
      </c>
      <c r="P184" s="9" t="s">
        <v>108</v>
      </c>
      <c r="Q184" s="9" t="n">
        <v>0</v>
      </c>
      <c r="R184" s="10"/>
      <c r="S184" s="10"/>
      <c r="T184" s="9" t="str">
        <f aca="false">$B184&amp;"_"&amp;TEXT($F184,"yyyymmdd")</f>
        <v>NV002_20260615</v>
      </c>
      <c r="U184" s="9" t="str">
        <f aca="false">VLOOKUP($P184,DM_TRANG_THAI!$A$4:$B$9,2,FALSE())</f>
        <v>P</v>
      </c>
    </row>
    <row r="185" customFormat="false" ht="15.75" hidden="false" customHeight="true" outlineLevel="0" collapsed="false">
      <c r="A185" s="9" t="n">
        <v>182</v>
      </c>
      <c r="B185" s="9" t="s">
        <v>30</v>
      </c>
      <c r="C185" s="10" t="str">
        <f aca="false">VLOOKUP($B185,DM_NHAN_VIEN!$B$4:$F$18,2,FALSE())</f>
        <v>Trần Thị Nhân Sự</v>
      </c>
      <c r="D185" s="9" t="str">
        <f aca="false">VLOOKUP($B185,DM_NHAN_VIEN!$B$4:$F$18,3,FALSE())</f>
        <v>Nhân sự</v>
      </c>
      <c r="E185" s="9" t="str">
        <f aca="false">VLOOKUP($B185,DM_NHAN_VIEN!$B$4:$F$18,4,FALSE())</f>
        <v>Trưởng phòng</v>
      </c>
      <c r="F185" s="18" t="n">
        <v>46188</v>
      </c>
      <c r="G185" s="9" t="str">
        <f aca="false">CHOOSE(WEEKDAY(F185,2),"Thứ Hai","Thứ Ba","Thứ Tư","Thứ Năm","Thứ Sáu","Thứ Bảy","Chủ Nhật")</f>
        <v>Thứ Hai</v>
      </c>
      <c r="H185" s="9" t="str">
        <f aca="false">VLOOKUP($B185,DM_NHAN_VIEN!$B$4:$F$18,5,FALSE())</f>
        <v>Ca Hành Chính</v>
      </c>
      <c r="I185" s="9" t="str">
        <f aca="false">VLOOKUP($H185,DM_CA_LAM!$A$4:$C$6,2,FALSE())</f>
        <v>07:30</v>
      </c>
      <c r="J185" s="9" t="str">
        <f aca="false">VLOOKUP($H185,DM_CA_LAM!$A$4:$C$6,3,FALSE())</f>
        <v>17:30</v>
      </c>
      <c r="K185" s="9" t="s">
        <v>160</v>
      </c>
      <c r="L185" s="9" t="s">
        <v>162</v>
      </c>
      <c r="M185" s="9" t="n">
        <f aca="false">IF($K185="","",MAX(0,ROUND((TIMEVALUE($K185)-TIMEVALUE($I185))*1440,0)))</f>
        <v>0</v>
      </c>
      <c r="N185" s="9" t="n">
        <f aca="false">IF($L185="","",MAX(0,ROUND((TIMEVALUE($J185)-TIMEVALUE($L185))*1440,0)))</f>
        <v>0</v>
      </c>
      <c r="O185" s="9" t="n">
        <f aca="false">IF(OR($K185="",$L185=""),0,ROUND(VLOOKUP($H185,DM_CA_LAM!$A$4:$F$6,6,FALSE())-$M185/60-$N185/60,2))</f>
        <v>8</v>
      </c>
      <c r="P185" s="9" t="s">
        <v>108</v>
      </c>
      <c r="Q185" s="9" t="n">
        <v>0</v>
      </c>
      <c r="R185" s="10"/>
      <c r="S185" s="10"/>
      <c r="T185" s="9" t="str">
        <f aca="false">$B185&amp;"_"&amp;TEXT($F185,"yyyymmdd")</f>
        <v>NV003_20260615</v>
      </c>
      <c r="U185" s="9" t="str">
        <f aca="false">VLOOKUP($P185,DM_TRANG_THAI!$A$4:$B$9,2,FALSE())</f>
        <v>P</v>
      </c>
    </row>
    <row r="186" customFormat="false" ht="15.75" hidden="false" customHeight="true" outlineLevel="0" collapsed="false">
      <c r="A186" s="9" t="n">
        <v>183</v>
      </c>
      <c r="B186" s="9" t="s">
        <v>35</v>
      </c>
      <c r="C186" s="10" t="str">
        <f aca="false">VLOOKUP($B186,DM_NHAN_VIEN!$B$4:$F$18,2,FALSE())</f>
        <v>Lê Văn Quản Đốc</v>
      </c>
      <c r="D186" s="9" t="str">
        <f aca="false">VLOOKUP($B186,DM_NHAN_VIEN!$B$4:$F$18,3,FALSE())</f>
        <v>Xưởng sản xuất</v>
      </c>
      <c r="E186" s="9" t="str">
        <f aca="false">VLOOKUP($B186,DM_NHAN_VIEN!$B$4:$F$18,4,FALSE())</f>
        <v>Quản đốc</v>
      </c>
      <c r="F186" s="18" t="n">
        <v>46188</v>
      </c>
      <c r="G186" s="9" t="str">
        <f aca="false">CHOOSE(WEEKDAY(F186,2),"Thứ Hai","Thứ Ba","Thứ Tư","Thứ Năm","Thứ Sáu","Thứ Bảy","Chủ Nhật")</f>
        <v>Thứ Hai</v>
      </c>
      <c r="H186" s="9" t="str">
        <f aca="false">VLOOKUP($B186,DM_NHAN_VIEN!$B$4:$F$18,5,FALSE())</f>
        <v>Ca Hành Chính</v>
      </c>
      <c r="I186" s="9" t="str">
        <f aca="false">VLOOKUP($H186,DM_CA_LAM!$A$4:$C$6,2,FALSE())</f>
        <v>07:30</v>
      </c>
      <c r="J186" s="9" t="str">
        <f aca="false">VLOOKUP($H186,DM_CA_LAM!$A$4:$C$6,3,FALSE())</f>
        <v>17:30</v>
      </c>
      <c r="K186" s="9" t="s">
        <v>167</v>
      </c>
      <c r="L186" s="9" t="s">
        <v>153</v>
      </c>
      <c r="M186" s="9" t="n">
        <f aca="false">IF($K186="","",MAX(0,ROUND((TIMEVALUE($K186)-TIMEVALUE($I186))*1440,0)))</f>
        <v>0</v>
      </c>
      <c r="N186" s="9" t="n">
        <f aca="false">IF($L186="","",MAX(0,ROUND((TIMEVALUE($J186)-TIMEVALUE($L186))*1440,0)))</f>
        <v>0</v>
      </c>
      <c r="O186" s="9" t="n">
        <f aca="false">IF(OR($K186="",$L186=""),0,ROUND(VLOOKUP($H186,DM_CA_LAM!$A$4:$F$6,6,FALSE())-$M186/60-$N186/60,2))</f>
        <v>8</v>
      </c>
      <c r="P186" s="9" t="s">
        <v>108</v>
      </c>
      <c r="Q186" s="9" t="n">
        <v>0</v>
      </c>
      <c r="R186" s="10"/>
      <c r="S186" s="10"/>
      <c r="T186" s="9" t="str">
        <f aca="false">$B186&amp;"_"&amp;TEXT($F186,"yyyymmdd")</f>
        <v>NV004_20260615</v>
      </c>
      <c r="U186" s="9" t="str">
        <f aca="false">VLOOKUP($P186,DM_TRANG_THAI!$A$4:$B$9,2,FALSE())</f>
        <v>P</v>
      </c>
    </row>
    <row r="187" customFormat="false" ht="15.75" hidden="false" customHeight="true" outlineLevel="0" collapsed="false">
      <c r="A187" s="9" t="n">
        <v>184</v>
      </c>
      <c r="B187" s="9" t="s">
        <v>40</v>
      </c>
      <c r="C187" s="10" t="str">
        <f aca="false">VLOOKUP($B187,DM_NHAN_VIEN!$B$4:$F$18,2,FALSE())</f>
        <v>Phạm Công Nhân</v>
      </c>
      <c r="D187" s="9" t="str">
        <f aca="false">VLOOKUP($B187,DM_NHAN_VIEN!$B$4:$F$18,3,FALSE())</f>
        <v>Xưởng sản xuất</v>
      </c>
      <c r="E187" s="9" t="str">
        <f aca="false">VLOOKUP($B187,DM_NHAN_VIEN!$B$4:$F$18,4,FALSE())</f>
        <v>Công nhân</v>
      </c>
      <c r="F187" s="18" t="n">
        <v>46188</v>
      </c>
      <c r="G187" s="9" t="str">
        <f aca="false">CHOOSE(WEEKDAY(F187,2),"Thứ Hai","Thứ Ba","Thứ Tư","Thứ Năm","Thứ Sáu","Thứ Bảy","Chủ Nhật")</f>
        <v>Thứ Hai</v>
      </c>
      <c r="H187" s="9" t="str">
        <f aca="false">VLOOKUP($B187,DM_NHAN_VIEN!$B$4:$F$18,5,FALSE())</f>
        <v>Ca Hành Chính</v>
      </c>
      <c r="I187" s="9" t="str">
        <f aca="false">VLOOKUP($H187,DM_CA_LAM!$A$4:$C$6,2,FALSE())</f>
        <v>07:30</v>
      </c>
      <c r="J187" s="9" t="str">
        <f aca="false">VLOOKUP($H187,DM_CA_LAM!$A$4:$C$6,3,FALSE())</f>
        <v>17:30</v>
      </c>
      <c r="K187" s="9" t="s">
        <v>145</v>
      </c>
      <c r="L187" s="9" t="s">
        <v>153</v>
      </c>
      <c r="M187" s="9" t="n">
        <f aca="false">IF($K187="","",MAX(0,ROUND((TIMEVALUE($K187)-TIMEVALUE($I187))*1440,0)))</f>
        <v>0</v>
      </c>
      <c r="N187" s="9" t="n">
        <f aca="false">IF($L187="","",MAX(0,ROUND((TIMEVALUE($J187)-TIMEVALUE($L187))*1440,0)))</f>
        <v>0</v>
      </c>
      <c r="O187" s="9" t="n">
        <f aca="false">IF(OR($K187="",$L187=""),0,ROUND(VLOOKUP($H187,DM_CA_LAM!$A$4:$F$6,6,FALSE())-$M187/60-$N187/60,2))</f>
        <v>8</v>
      </c>
      <c r="P187" s="9" t="s">
        <v>108</v>
      </c>
      <c r="Q187" s="9" t="n">
        <v>0</v>
      </c>
      <c r="R187" s="10"/>
      <c r="S187" s="10"/>
      <c r="T187" s="9" t="str">
        <f aca="false">$B187&amp;"_"&amp;TEXT($F187,"yyyymmdd")</f>
        <v>NV005_20260615</v>
      </c>
      <c r="U187" s="9" t="str">
        <f aca="false">VLOOKUP($P187,DM_TRANG_THAI!$A$4:$B$9,2,FALSE())</f>
        <v>P</v>
      </c>
    </row>
    <row r="188" customFormat="false" ht="15.75" hidden="false" customHeight="true" outlineLevel="0" collapsed="false">
      <c r="A188" s="9" t="n">
        <v>185</v>
      </c>
      <c r="B188" s="9" t="s">
        <v>44</v>
      </c>
      <c r="C188" s="10" t="str">
        <f aca="false">VLOOKUP($B188,DM_NHAN_VIEN!$B$4:$F$18,2,FALSE())</f>
        <v>Đỗ Thị Hà</v>
      </c>
      <c r="D188" s="9" t="str">
        <f aca="false">VLOOKUP($B188,DM_NHAN_VIEN!$B$4:$F$18,3,FALSE())</f>
        <v>Hành chính</v>
      </c>
      <c r="E188" s="9" t="str">
        <f aca="false">VLOOKUP($B188,DM_NHAN_VIEN!$B$4:$F$18,4,FALSE())</f>
        <v>Trưởng phòng</v>
      </c>
      <c r="F188" s="18" t="n">
        <v>46188</v>
      </c>
      <c r="G188" s="9" t="str">
        <f aca="false">CHOOSE(WEEKDAY(F188,2),"Thứ Hai","Thứ Ba","Thứ Tư","Thứ Năm","Thứ Sáu","Thứ Bảy","Chủ Nhật")</f>
        <v>Thứ Hai</v>
      </c>
      <c r="H188" s="9" t="str">
        <f aca="false">VLOOKUP($B188,DM_NHAN_VIEN!$B$4:$F$18,5,FALSE())</f>
        <v>Ca Hành Chính</v>
      </c>
      <c r="I188" s="9" t="str">
        <f aca="false">VLOOKUP($H188,DM_CA_LAM!$A$4:$C$6,2,FALSE())</f>
        <v>07:30</v>
      </c>
      <c r="J188" s="9" t="str">
        <f aca="false">VLOOKUP($H188,DM_CA_LAM!$A$4:$C$6,3,FALSE())</f>
        <v>17:30</v>
      </c>
      <c r="K188" s="9" t="s">
        <v>156</v>
      </c>
      <c r="L188" s="9" t="s">
        <v>153</v>
      </c>
      <c r="M188" s="9" t="n">
        <f aca="false">IF($K188="","",MAX(0,ROUND((TIMEVALUE($K188)-TIMEVALUE($I188))*1440,0)))</f>
        <v>0</v>
      </c>
      <c r="N188" s="9" t="n">
        <f aca="false">IF($L188="","",MAX(0,ROUND((TIMEVALUE($J188)-TIMEVALUE($L188))*1440,0)))</f>
        <v>0</v>
      </c>
      <c r="O188" s="9" t="n">
        <f aca="false">IF(OR($K188="",$L188=""),0,ROUND(VLOOKUP($H188,DM_CA_LAM!$A$4:$F$6,6,FALSE())-$M188/60-$N188/60,2))</f>
        <v>8</v>
      </c>
      <c r="P188" s="9" t="s">
        <v>108</v>
      </c>
      <c r="Q188" s="9" t="n">
        <v>1.5</v>
      </c>
      <c r="R188" s="10" t="s">
        <v>179</v>
      </c>
      <c r="S188" s="10"/>
      <c r="T188" s="9" t="str">
        <f aca="false">$B188&amp;"_"&amp;TEXT($F188,"yyyymmdd")</f>
        <v>NV006_20260615</v>
      </c>
      <c r="U188" s="9" t="str">
        <f aca="false">VLOOKUP($P188,DM_TRANG_THAI!$A$4:$B$9,2,FALSE())</f>
        <v>P</v>
      </c>
    </row>
    <row r="189" customFormat="false" ht="15.75" hidden="false" customHeight="true" outlineLevel="0" collapsed="false">
      <c r="A189" s="9" t="n">
        <v>186</v>
      </c>
      <c r="B189" s="9" t="s">
        <v>47</v>
      </c>
      <c r="C189" s="10" t="str">
        <f aca="false">VLOOKUP($B189,DM_NHAN_VIEN!$B$4:$F$18,2,FALSE())</f>
        <v>Ngô Văn Tài</v>
      </c>
      <c r="D189" s="9" t="str">
        <f aca="false">VLOOKUP($B189,DM_NHAN_VIEN!$B$4:$F$18,3,FALSE())</f>
        <v>Hành chính</v>
      </c>
      <c r="E189" s="9" t="str">
        <f aca="false">VLOOKUP($B189,DM_NHAN_VIEN!$B$4:$F$18,4,FALSE())</f>
        <v>Phó phòng</v>
      </c>
      <c r="F189" s="18" t="n">
        <v>46188</v>
      </c>
      <c r="G189" s="9" t="str">
        <f aca="false">CHOOSE(WEEKDAY(F189,2),"Thứ Hai","Thứ Ba","Thứ Tư","Thứ Năm","Thứ Sáu","Thứ Bảy","Chủ Nhật")</f>
        <v>Thứ Hai</v>
      </c>
      <c r="H189" s="9" t="str">
        <f aca="false">VLOOKUP($B189,DM_NHAN_VIEN!$B$4:$F$18,5,FALSE())</f>
        <v>Ca Hành Chính</v>
      </c>
      <c r="I189" s="9" t="str">
        <f aca="false">VLOOKUP($H189,DM_CA_LAM!$A$4:$C$6,2,FALSE())</f>
        <v>07:30</v>
      </c>
      <c r="J189" s="9" t="str">
        <f aca="false">VLOOKUP($H189,DM_CA_LAM!$A$4:$C$6,3,FALSE())</f>
        <v>17:30</v>
      </c>
      <c r="K189" s="9" t="s">
        <v>148</v>
      </c>
      <c r="L189" s="9" t="s">
        <v>164</v>
      </c>
      <c r="M189" s="9" t="n">
        <f aca="false">IF($K189="","",MAX(0,ROUND((TIMEVALUE($K189)-TIMEVALUE($I189))*1440,0)))</f>
        <v>0</v>
      </c>
      <c r="N189" s="9" t="n">
        <f aca="false">IF($L189="","",MAX(0,ROUND((TIMEVALUE($J189)-TIMEVALUE($L189))*1440,0)))</f>
        <v>0</v>
      </c>
      <c r="O189" s="9" t="n">
        <f aca="false">IF(OR($K189="",$L189=""),0,ROUND(VLOOKUP($H189,DM_CA_LAM!$A$4:$F$6,6,FALSE())-$M189/60-$N189/60,2))</f>
        <v>8</v>
      </c>
      <c r="P189" s="9" t="s">
        <v>108</v>
      </c>
      <c r="Q189" s="9" t="n">
        <v>0</v>
      </c>
      <c r="R189" s="10"/>
      <c r="S189" s="10"/>
      <c r="T189" s="9" t="str">
        <f aca="false">$B189&amp;"_"&amp;TEXT($F189,"yyyymmdd")</f>
        <v>NV007_20260615</v>
      </c>
      <c r="U189" s="9" t="str">
        <f aca="false">VLOOKUP($P189,DM_TRANG_THAI!$A$4:$B$9,2,FALSE())</f>
        <v>P</v>
      </c>
    </row>
    <row r="190" customFormat="false" ht="15.75" hidden="false" customHeight="true" outlineLevel="0" collapsed="false">
      <c r="A190" s="9" t="n">
        <v>187</v>
      </c>
      <c r="B190" s="9" t="s">
        <v>51</v>
      </c>
      <c r="C190" s="10" t="str">
        <f aca="false">VLOOKUP($B190,DM_NHAN_VIEN!$B$4:$F$18,2,FALSE())</f>
        <v>Vũ Thị Nga</v>
      </c>
      <c r="D190" s="9" t="str">
        <f aca="false">VLOOKUP($B190,DM_NHAN_VIEN!$B$4:$F$18,3,FALSE())</f>
        <v>Hành chính</v>
      </c>
      <c r="E190" s="9" t="str">
        <f aca="false">VLOOKUP($B190,DM_NHAN_VIEN!$B$4:$F$18,4,FALSE())</f>
        <v>Chuyên viên</v>
      </c>
      <c r="F190" s="18" t="n">
        <v>46188</v>
      </c>
      <c r="G190" s="9" t="str">
        <f aca="false">CHOOSE(WEEKDAY(F190,2),"Thứ Hai","Thứ Ba","Thứ Tư","Thứ Năm","Thứ Sáu","Thứ Bảy","Chủ Nhật")</f>
        <v>Thứ Hai</v>
      </c>
      <c r="H190" s="9" t="str">
        <f aca="false">VLOOKUP($B190,DM_NHAN_VIEN!$B$4:$F$18,5,FALSE())</f>
        <v>Ca Hành Chính</v>
      </c>
      <c r="I190" s="9" t="str">
        <f aca="false">VLOOKUP($H190,DM_CA_LAM!$A$4:$C$6,2,FALSE())</f>
        <v>07:30</v>
      </c>
      <c r="J190" s="9" t="str">
        <f aca="false">VLOOKUP($H190,DM_CA_LAM!$A$4:$C$6,3,FALSE())</f>
        <v>17:30</v>
      </c>
      <c r="K190" s="9" t="s">
        <v>145</v>
      </c>
      <c r="L190" s="9" t="s">
        <v>146</v>
      </c>
      <c r="M190" s="9" t="n">
        <f aca="false">IF($K190="","",MAX(0,ROUND((TIMEVALUE($K190)-TIMEVALUE($I190))*1440,0)))</f>
        <v>0</v>
      </c>
      <c r="N190" s="9" t="n">
        <f aca="false">IF($L190="","",MAX(0,ROUND((TIMEVALUE($J190)-TIMEVALUE($L190))*1440,0)))</f>
        <v>0</v>
      </c>
      <c r="O190" s="9" t="n">
        <f aca="false">IF(OR($K190="",$L190=""),0,ROUND(VLOOKUP($H190,DM_CA_LAM!$A$4:$F$6,6,FALSE())-$M190/60-$N190/60,2))</f>
        <v>8</v>
      </c>
      <c r="P190" s="9" t="s">
        <v>108</v>
      </c>
      <c r="Q190" s="9" t="n">
        <v>0</v>
      </c>
      <c r="R190" s="10"/>
      <c r="S190" s="10"/>
      <c r="T190" s="9" t="str">
        <f aca="false">$B190&amp;"_"&amp;TEXT($F190,"yyyymmdd")</f>
        <v>NV008_20260615</v>
      </c>
      <c r="U190" s="9" t="str">
        <f aca="false">VLOOKUP($P190,DM_TRANG_THAI!$A$4:$B$9,2,FALSE())</f>
        <v>P</v>
      </c>
    </row>
    <row r="191" customFormat="false" ht="15.75" hidden="false" customHeight="true" outlineLevel="0" collapsed="false">
      <c r="A191" s="9" t="n">
        <v>188</v>
      </c>
      <c r="B191" s="9" t="s">
        <v>55</v>
      </c>
      <c r="C191" s="10" t="str">
        <f aca="false">VLOOKUP($B191,DM_NHAN_VIEN!$B$4:$F$18,2,FALSE())</f>
        <v>Đặng Thị Hồng</v>
      </c>
      <c r="D191" s="9" t="str">
        <f aca="false">VLOOKUP($B191,DM_NHAN_VIEN!$B$4:$F$18,3,FALSE())</f>
        <v>Nhân sự</v>
      </c>
      <c r="E191" s="9" t="str">
        <f aca="false">VLOOKUP($B191,DM_NHAN_VIEN!$B$4:$F$18,4,FALSE())</f>
        <v>Chuyên viên</v>
      </c>
      <c r="F191" s="18" t="n">
        <v>46188</v>
      </c>
      <c r="G191" s="9" t="str">
        <f aca="false">CHOOSE(WEEKDAY(F191,2),"Thứ Hai","Thứ Ba","Thứ Tư","Thứ Năm","Thứ Sáu","Thứ Bảy","Chủ Nhật")</f>
        <v>Thứ Hai</v>
      </c>
      <c r="H191" s="9" t="str">
        <f aca="false">VLOOKUP($B191,DM_NHAN_VIEN!$B$4:$F$18,5,FALSE())</f>
        <v>Ca Hành Chính</v>
      </c>
      <c r="I191" s="9" t="str">
        <f aca="false">VLOOKUP($H191,DM_CA_LAM!$A$4:$C$6,2,FALSE())</f>
        <v>07:30</v>
      </c>
      <c r="J191" s="9" t="str">
        <f aca="false">VLOOKUP($H191,DM_CA_LAM!$A$4:$C$6,3,FALSE())</f>
        <v>17:30</v>
      </c>
      <c r="K191" s="9"/>
      <c r="L191" s="9"/>
      <c r="M191" s="9" t="str">
        <f aca="false">IF($K191="","",MAX(0,ROUND((TIMEVALUE($K191)-TIMEVALUE($I191))*1440,0)))</f>
        <v/>
      </c>
      <c r="N191" s="9" t="str">
        <f aca="false">IF($L191="","",MAX(0,ROUND((TIMEVALUE($J191)-TIMEVALUE($L191))*1440,0)))</f>
        <v/>
      </c>
      <c r="O191" s="9" t="n">
        <f aca="false">IF(OR($K191="",$L191=""),0,ROUND(VLOOKUP($H191,DM_CA_LAM!$A$4:$F$6,6,FALSE())-$M191/60-$N191/60,2))</f>
        <v>0</v>
      </c>
      <c r="P191" s="9" t="s">
        <v>114</v>
      </c>
      <c r="Q191" s="9" t="n">
        <v>0</v>
      </c>
      <c r="R191" s="10"/>
      <c r="S191" s="10" t="s">
        <v>178</v>
      </c>
      <c r="T191" s="9" t="str">
        <f aca="false">$B191&amp;"_"&amp;TEXT($F191,"yyyymmdd")</f>
        <v>NV010_20260615</v>
      </c>
      <c r="U191" s="9" t="str">
        <f aca="false">VLOOKUP($P191,DM_TRANG_THAI!$A$4:$B$9,2,FALSE())</f>
        <v>A</v>
      </c>
    </row>
    <row r="192" customFormat="false" ht="15.75" hidden="false" customHeight="true" outlineLevel="0" collapsed="false">
      <c r="A192" s="9" t="n">
        <v>189</v>
      </c>
      <c r="B192" s="9" t="s">
        <v>58</v>
      </c>
      <c r="C192" s="10" t="str">
        <f aca="false">VLOOKUP($B192,DM_NHAN_VIEN!$B$4:$F$18,2,FALSE())</f>
        <v>Chu Văn Minh</v>
      </c>
      <c r="D192" s="9" t="str">
        <f aca="false">VLOOKUP($B192,DM_NHAN_VIEN!$B$4:$F$18,3,FALSE())</f>
        <v>Nhân sự</v>
      </c>
      <c r="E192" s="9" t="str">
        <f aca="false">VLOOKUP($B192,DM_NHAN_VIEN!$B$4:$F$18,4,FALSE())</f>
        <v>Chuyên viên</v>
      </c>
      <c r="F192" s="18" t="n">
        <v>46188</v>
      </c>
      <c r="G192" s="9" t="str">
        <f aca="false">CHOOSE(WEEKDAY(F192,2),"Thứ Hai","Thứ Ba","Thứ Tư","Thứ Năm","Thứ Sáu","Thứ Bảy","Chủ Nhật")</f>
        <v>Thứ Hai</v>
      </c>
      <c r="H192" s="9" t="str">
        <f aca="false">VLOOKUP($B192,DM_NHAN_VIEN!$B$4:$F$18,5,FALSE())</f>
        <v>Ca Hành Chính</v>
      </c>
      <c r="I192" s="9" t="str">
        <f aca="false">VLOOKUP($H192,DM_CA_LAM!$A$4:$C$6,2,FALSE())</f>
        <v>07:30</v>
      </c>
      <c r="J192" s="9" t="str">
        <f aca="false">VLOOKUP($H192,DM_CA_LAM!$A$4:$C$6,3,FALSE())</f>
        <v>17:30</v>
      </c>
      <c r="K192" s="9" t="s">
        <v>150</v>
      </c>
      <c r="L192" s="9" t="s">
        <v>162</v>
      </c>
      <c r="M192" s="9" t="n">
        <f aca="false">IF($K192="","",MAX(0,ROUND((TIMEVALUE($K192)-TIMEVALUE($I192))*1440,0)))</f>
        <v>0</v>
      </c>
      <c r="N192" s="9" t="n">
        <f aca="false">IF($L192="","",MAX(0,ROUND((TIMEVALUE($J192)-TIMEVALUE($L192))*1440,0)))</f>
        <v>0</v>
      </c>
      <c r="O192" s="9" t="n">
        <f aca="false">IF(OR($K192="",$L192=""),0,ROUND(VLOOKUP($H192,DM_CA_LAM!$A$4:$F$6,6,FALSE())-$M192/60-$N192/60,2))</f>
        <v>8</v>
      </c>
      <c r="P192" s="9" t="s">
        <v>108</v>
      </c>
      <c r="Q192" s="9" t="n">
        <v>0</v>
      </c>
      <c r="R192" s="10"/>
      <c r="S192" s="10"/>
      <c r="T192" s="9" t="str">
        <f aca="false">$B192&amp;"_"&amp;TEXT($F192,"yyyymmdd")</f>
        <v>NV011_20260615</v>
      </c>
      <c r="U192" s="9" t="str">
        <f aca="false">VLOOKUP($P192,DM_TRANG_THAI!$A$4:$B$9,2,FALSE())</f>
        <v>P</v>
      </c>
    </row>
    <row r="193" customFormat="false" ht="15.75" hidden="false" customHeight="true" outlineLevel="0" collapsed="false">
      <c r="A193" s="9" t="n">
        <v>190</v>
      </c>
      <c r="B193" s="9" t="s">
        <v>61</v>
      </c>
      <c r="C193" s="10" t="str">
        <f aca="false">VLOOKUP($B193,DM_NHAN_VIEN!$B$4:$F$18,2,FALSE())</f>
        <v>Phan Thị Khánh</v>
      </c>
      <c r="D193" s="9" t="str">
        <f aca="false">VLOOKUP($B193,DM_NHAN_VIEN!$B$4:$F$18,3,FALSE())</f>
        <v>Kế toán</v>
      </c>
      <c r="E193" s="9" t="str">
        <f aca="false">VLOOKUP($B193,DM_NHAN_VIEN!$B$4:$F$18,4,FALSE())</f>
        <v>Trưởng phòng</v>
      </c>
      <c r="F193" s="18" t="n">
        <v>46188</v>
      </c>
      <c r="G193" s="9" t="str">
        <f aca="false">CHOOSE(WEEKDAY(F193,2),"Thứ Hai","Thứ Ba","Thứ Tư","Thứ Năm","Thứ Sáu","Thứ Bảy","Chủ Nhật")</f>
        <v>Thứ Hai</v>
      </c>
      <c r="H193" s="9" t="str">
        <f aca="false">VLOOKUP($B193,DM_NHAN_VIEN!$B$4:$F$18,5,FALSE())</f>
        <v>Ca Hành Chính</v>
      </c>
      <c r="I193" s="9" t="str">
        <f aca="false">VLOOKUP($H193,DM_CA_LAM!$A$4:$C$6,2,FALSE())</f>
        <v>07:30</v>
      </c>
      <c r="J193" s="9" t="str">
        <f aca="false">VLOOKUP($H193,DM_CA_LAM!$A$4:$C$6,3,FALSE())</f>
        <v>17:30</v>
      </c>
      <c r="K193" s="9" t="s">
        <v>145</v>
      </c>
      <c r="L193" s="9" t="s">
        <v>143</v>
      </c>
      <c r="M193" s="9" t="n">
        <f aca="false">IF($K193="","",MAX(0,ROUND((TIMEVALUE($K193)-TIMEVALUE($I193))*1440,0)))</f>
        <v>0</v>
      </c>
      <c r="N193" s="9" t="n">
        <f aca="false">IF($L193="","",MAX(0,ROUND((TIMEVALUE($J193)-TIMEVALUE($L193))*1440,0)))</f>
        <v>0</v>
      </c>
      <c r="O193" s="9" t="n">
        <f aca="false">IF(OR($K193="",$L193=""),0,ROUND(VLOOKUP($H193,DM_CA_LAM!$A$4:$F$6,6,FALSE())-$M193/60-$N193/60,2))</f>
        <v>8</v>
      </c>
      <c r="P193" s="9" t="s">
        <v>108</v>
      </c>
      <c r="Q193" s="9" t="n">
        <v>0</v>
      </c>
      <c r="R193" s="10"/>
      <c r="S193" s="10"/>
      <c r="T193" s="9" t="str">
        <f aca="false">$B193&amp;"_"&amp;TEXT($F193,"yyyymmdd")</f>
        <v>NV014_20260615</v>
      </c>
      <c r="U193" s="9" t="str">
        <f aca="false">VLOOKUP($P193,DM_TRANG_THAI!$A$4:$B$9,2,FALSE())</f>
        <v>P</v>
      </c>
    </row>
    <row r="194" customFormat="false" ht="15.75" hidden="false" customHeight="true" outlineLevel="0" collapsed="false">
      <c r="A194" s="9" t="n">
        <v>191</v>
      </c>
      <c r="B194" s="9" t="s">
        <v>65</v>
      </c>
      <c r="C194" s="10" t="str">
        <f aca="false">VLOOKUP($B194,DM_NHAN_VIEN!$B$4:$F$18,2,FALSE())</f>
        <v>Trịnh Văn Hùng</v>
      </c>
      <c r="D194" s="9" t="str">
        <f aca="false">VLOOKUP($B194,DM_NHAN_VIEN!$B$4:$F$18,3,FALSE())</f>
        <v>Kế toán</v>
      </c>
      <c r="E194" s="9" t="str">
        <f aca="false">VLOOKUP($B194,DM_NHAN_VIEN!$B$4:$F$18,4,FALSE())</f>
        <v>Phó phòng</v>
      </c>
      <c r="F194" s="18" t="n">
        <v>46188</v>
      </c>
      <c r="G194" s="9" t="str">
        <f aca="false">CHOOSE(WEEKDAY(F194,2),"Thứ Hai","Thứ Ba","Thứ Tư","Thứ Năm","Thứ Sáu","Thứ Bảy","Chủ Nhật")</f>
        <v>Thứ Hai</v>
      </c>
      <c r="H194" s="9" t="str">
        <f aca="false">VLOOKUP($B194,DM_NHAN_VIEN!$B$4:$F$18,5,FALSE())</f>
        <v>Ca Hành Chính</v>
      </c>
      <c r="I194" s="9" t="str">
        <f aca="false">VLOOKUP($H194,DM_CA_LAM!$A$4:$C$6,2,FALSE())</f>
        <v>07:30</v>
      </c>
      <c r="J194" s="9" t="str">
        <f aca="false">VLOOKUP($H194,DM_CA_LAM!$A$4:$C$6,3,FALSE())</f>
        <v>17:30</v>
      </c>
      <c r="K194" s="9" t="s">
        <v>167</v>
      </c>
      <c r="L194" s="9" t="s">
        <v>166</v>
      </c>
      <c r="M194" s="9" t="n">
        <f aca="false">IF($K194="","",MAX(0,ROUND((TIMEVALUE($K194)-TIMEVALUE($I194))*1440,0)))</f>
        <v>0</v>
      </c>
      <c r="N194" s="9" t="n">
        <f aca="false">IF($L194="","",MAX(0,ROUND((TIMEVALUE($J194)-TIMEVALUE($L194))*1440,0)))</f>
        <v>0</v>
      </c>
      <c r="O194" s="9" t="n">
        <f aca="false">IF(OR($K194="",$L194=""),0,ROUND(VLOOKUP($H194,DM_CA_LAM!$A$4:$F$6,6,FALSE())-$M194/60-$N194/60,2))</f>
        <v>8</v>
      </c>
      <c r="P194" s="9" t="s">
        <v>108</v>
      </c>
      <c r="Q194" s="9" t="n">
        <v>0</v>
      </c>
      <c r="R194" s="10"/>
      <c r="S194" s="10"/>
      <c r="T194" s="9" t="str">
        <f aca="false">$B194&amp;"_"&amp;TEXT($F194,"yyyymmdd")</f>
        <v>NV015_20260615</v>
      </c>
      <c r="U194" s="9" t="str">
        <f aca="false">VLOOKUP($P194,DM_TRANG_THAI!$A$4:$B$9,2,FALSE())</f>
        <v>P</v>
      </c>
    </row>
    <row r="195" customFormat="false" ht="15.75" hidden="false" customHeight="true" outlineLevel="0" collapsed="false">
      <c r="A195" s="9" t="n">
        <v>192</v>
      </c>
      <c r="B195" s="9" t="s">
        <v>68</v>
      </c>
      <c r="C195" s="10" t="str">
        <f aca="false">VLOOKUP($B195,DM_NHAN_VIEN!$B$4:$F$18,2,FALSE())</f>
        <v>Hoàng Văn Lộc</v>
      </c>
      <c r="D195" s="9" t="str">
        <f aca="false">VLOOKUP($B195,DM_NHAN_VIEN!$B$4:$F$18,3,FALSE())</f>
        <v>Kinh doanh</v>
      </c>
      <c r="E195" s="9" t="str">
        <f aca="false">VLOOKUP($B195,DM_NHAN_VIEN!$B$4:$F$18,4,FALSE())</f>
        <v>Trưởng phòng</v>
      </c>
      <c r="F195" s="18" t="n">
        <v>46188</v>
      </c>
      <c r="G195" s="9" t="str">
        <f aca="false">CHOOSE(WEEKDAY(F195,2),"Thứ Hai","Thứ Ba","Thứ Tư","Thứ Năm","Thứ Sáu","Thứ Bảy","Chủ Nhật")</f>
        <v>Thứ Hai</v>
      </c>
      <c r="H195" s="9" t="str">
        <f aca="false">VLOOKUP($B195,DM_NHAN_VIEN!$B$4:$F$18,5,FALSE())</f>
        <v>Ca Hành Chính</v>
      </c>
      <c r="I195" s="9" t="str">
        <f aca="false">VLOOKUP($H195,DM_CA_LAM!$A$4:$C$6,2,FALSE())</f>
        <v>07:30</v>
      </c>
      <c r="J195" s="9" t="str">
        <f aca="false">VLOOKUP($H195,DM_CA_LAM!$A$4:$C$6,3,FALSE())</f>
        <v>17:30</v>
      </c>
      <c r="K195" s="9" t="s">
        <v>158</v>
      </c>
      <c r="L195" s="9" t="s">
        <v>163</v>
      </c>
      <c r="M195" s="9" t="n">
        <f aca="false">IF($K195="","",MAX(0,ROUND((TIMEVALUE($K195)-TIMEVALUE($I195))*1440,0)))</f>
        <v>0</v>
      </c>
      <c r="N195" s="9" t="n">
        <f aca="false">IF($L195="","",MAX(0,ROUND((TIMEVALUE($J195)-TIMEVALUE($L195))*1440,0)))</f>
        <v>0</v>
      </c>
      <c r="O195" s="9" t="n">
        <f aca="false">IF(OR($K195="",$L195=""),0,ROUND(VLOOKUP($H195,DM_CA_LAM!$A$4:$F$6,6,FALSE())-$M195/60-$N195/60,2))</f>
        <v>8</v>
      </c>
      <c r="P195" s="9" t="s">
        <v>108</v>
      </c>
      <c r="Q195" s="9" t="n">
        <v>0</v>
      </c>
      <c r="R195" s="10"/>
      <c r="S195" s="10"/>
      <c r="T195" s="9" t="str">
        <f aca="false">$B195&amp;"_"&amp;TEXT($F195,"yyyymmdd")</f>
        <v>NV019_20260615</v>
      </c>
      <c r="U195" s="9" t="str">
        <f aca="false">VLOOKUP($P195,DM_TRANG_THAI!$A$4:$B$9,2,FALSE())</f>
        <v>P</v>
      </c>
    </row>
    <row r="196" customFormat="false" ht="15.75" hidden="false" customHeight="true" outlineLevel="0" collapsed="false">
      <c r="A196" s="9" t="n">
        <v>193</v>
      </c>
      <c r="B196" s="9" t="s">
        <v>72</v>
      </c>
      <c r="C196" s="10" t="str">
        <f aca="false">VLOOKUP($B196,DM_NHAN_VIEN!$B$4:$F$18,2,FALSE())</f>
        <v>Nguyễn Văn Phú</v>
      </c>
      <c r="D196" s="9" t="str">
        <f aca="false">VLOOKUP($B196,DM_NHAN_VIEN!$B$4:$F$18,3,FALSE())</f>
        <v>Kinh doanh</v>
      </c>
      <c r="E196" s="9" t="str">
        <f aca="false">VLOOKUP($B196,DM_NHAN_VIEN!$B$4:$F$18,4,FALSE())</f>
        <v>Nhân viên</v>
      </c>
      <c r="F196" s="18" t="n">
        <v>46188</v>
      </c>
      <c r="G196" s="9" t="str">
        <f aca="false">CHOOSE(WEEKDAY(F196,2),"Thứ Hai","Thứ Ba","Thứ Tư","Thứ Năm","Thứ Sáu","Thứ Bảy","Chủ Nhật")</f>
        <v>Thứ Hai</v>
      </c>
      <c r="H196" s="9" t="str">
        <f aca="false">VLOOKUP($B196,DM_NHAN_VIEN!$B$4:$F$18,5,FALSE())</f>
        <v>Ca Hành Chính</v>
      </c>
      <c r="I196" s="9" t="str">
        <f aca="false">VLOOKUP($H196,DM_CA_LAM!$A$4:$C$6,2,FALSE())</f>
        <v>07:30</v>
      </c>
      <c r="J196" s="9" t="str">
        <f aca="false">VLOOKUP($H196,DM_CA_LAM!$A$4:$C$6,3,FALSE())</f>
        <v>17:30</v>
      </c>
      <c r="K196" s="9" t="s">
        <v>92</v>
      </c>
      <c r="L196" s="9" t="s">
        <v>163</v>
      </c>
      <c r="M196" s="9" t="n">
        <f aca="false">IF($K196="","",MAX(0,ROUND((TIMEVALUE($K196)-TIMEVALUE($I196))*1440,0)))</f>
        <v>0</v>
      </c>
      <c r="N196" s="9" t="n">
        <f aca="false">IF($L196="","",MAX(0,ROUND((TIMEVALUE($J196)-TIMEVALUE($L196))*1440,0)))</f>
        <v>0</v>
      </c>
      <c r="O196" s="9" t="n">
        <f aca="false">IF(OR($K196="",$L196=""),0,ROUND(VLOOKUP($H196,DM_CA_LAM!$A$4:$F$6,6,FALSE())-$M196/60-$N196/60,2))</f>
        <v>8</v>
      </c>
      <c r="P196" s="9" t="s">
        <v>108</v>
      </c>
      <c r="Q196" s="9" t="n">
        <v>0</v>
      </c>
      <c r="R196" s="10"/>
      <c r="S196" s="10"/>
      <c r="T196" s="9" t="str">
        <f aca="false">$B196&amp;"_"&amp;TEXT($F196,"yyyymmdd")</f>
        <v>NV021_20260615</v>
      </c>
      <c r="U196" s="9" t="str">
        <f aca="false">VLOOKUP($P196,DM_TRANG_THAI!$A$4:$B$9,2,FALSE())</f>
        <v>P</v>
      </c>
    </row>
    <row r="197" customFormat="false" ht="15.75" hidden="false" customHeight="true" outlineLevel="0" collapsed="false">
      <c r="A197" s="9" t="n">
        <v>194</v>
      </c>
      <c r="B197" s="9" t="s">
        <v>76</v>
      </c>
      <c r="C197" s="10" t="str">
        <f aca="false">VLOOKUP($B197,DM_NHAN_VIEN!$B$4:$F$18,2,FALSE())</f>
        <v>Lý Văn Dũng</v>
      </c>
      <c r="D197" s="9" t="str">
        <f aca="false">VLOOKUP($B197,DM_NHAN_VIEN!$B$4:$F$18,3,FALSE())</f>
        <v>Xưởng sản xuất</v>
      </c>
      <c r="E197" s="9" t="str">
        <f aca="false">VLOOKUP($B197,DM_NHAN_VIEN!$B$4:$F$18,4,FALSE())</f>
        <v>Tổ trưởng</v>
      </c>
      <c r="F197" s="18" t="n">
        <v>46188</v>
      </c>
      <c r="G197" s="9" t="str">
        <f aca="false">CHOOSE(WEEKDAY(F197,2),"Thứ Hai","Thứ Ba","Thứ Tư","Thứ Năm","Thứ Sáu","Thứ Bảy","Chủ Nhật")</f>
        <v>Thứ Hai</v>
      </c>
      <c r="H197" s="9" t="str">
        <f aca="false">VLOOKUP($B197,DM_NHAN_VIEN!$B$4:$F$18,5,FALSE())</f>
        <v>Ca Hành Chính</v>
      </c>
      <c r="I197" s="9" t="str">
        <f aca="false">VLOOKUP($H197,DM_CA_LAM!$A$4:$C$6,2,FALSE())</f>
        <v>07:30</v>
      </c>
      <c r="J197" s="9" t="str">
        <f aca="false">VLOOKUP($H197,DM_CA_LAM!$A$4:$C$6,3,FALSE())</f>
        <v>17:30</v>
      </c>
      <c r="K197" s="9" t="s">
        <v>160</v>
      </c>
      <c r="L197" s="9" t="s">
        <v>159</v>
      </c>
      <c r="M197" s="9" t="n">
        <f aca="false">IF($K197="","",MAX(0,ROUND((TIMEVALUE($K197)-TIMEVALUE($I197))*1440,0)))</f>
        <v>0</v>
      </c>
      <c r="N197" s="9" t="n">
        <f aca="false">IF($L197="","",MAX(0,ROUND((TIMEVALUE($J197)-TIMEVALUE($L197))*1440,0)))</f>
        <v>0</v>
      </c>
      <c r="O197" s="9" t="n">
        <f aca="false">IF(OR($K197="",$L197=""),0,ROUND(VLOOKUP($H197,DM_CA_LAM!$A$4:$F$6,6,FALSE())-$M197/60-$N197/60,2))</f>
        <v>8</v>
      </c>
      <c r="P197" s="9" t="s">
        <v>108</v>
      </c>
      <c r="Q197" s="9" t="n">
        <v>0</v>
      </c>
      <c r="R197" s="10"/>
      <c r="S197" s="10"/>
      <c r="T197" s="9" t="str">
        <f aca="false">$B197&amp;"_"&amp;TEXT($F197,"yyyymmdd")</f>
        <v>NV029_20260615</v>
      </c>
      <c r="U197" s="9" t="str">
        <f aca="false">VLOOKUP($P197,DM_TRANG_THAI!$A$4:$B$9,2,FALSE())</f>
        <v>P</v>
      </c>
    </row>
    <row r="198" customFormat="false" ht="15.75" hidden="false" customHeight="true" outlineLevel="0" collapsed="false">
      <c r="A198" s="9" t="n">
        <v>195</v>
      </c>
      <c r="B198" s="9" t="s">
        <v>80</v>
      </c>
      <c r="C198" s="10" t="str">
        <f aca="false">VLOOKUP($B198,DM_NHAN_VIEN!$B$4:$F$18,2,FALSE())</f>
        <v>Tống Văn Thắng</v>
      </c>
      <c r="D198" s="9" t="str">
        <f aca="false">VLOOKUP($B198,DM_NHAN_VIEN!$B$4:$F$18,3,FALSE())</f>
        <v>Xưởng sản xuất</v>
      </c>
      <c r="E198" s="9" t="str">
        <f aca="false">VLOOKUP($B198,DM_NHAN_VIEN!$B$4:$F$18,4,FALSE())</f>
        <v>Tổ trưởng</v>
      </c>
      <c r="F198" s="18" t="n">
        <v>46188</v>
      </c>
      <c r="G198" s="9" t="str">
        <f aca="false">CHOOSE(WEEKDAY(F198,2),"Thứ Hai","Thứ Ba","Thứ Tư","Thứ Năm","Thứ Sáu","Thứ Bảy","Chủ Nhật")</f>
        <v>Thứ Hai</v>
      </c>
      <c r="H198" s="9" t="str">
        <f aca="false">VLOOKUP($B198,DM_NHAN_VIEN!$B$4:$F$18,5,FALSE())</f>
        <v>Ca Hành Chính</v>
      </c>
      <c r="I198" s="9" t="str">
        <f aca="false">VLOOKUP($H198,DM_CA_LAM!$A$4:$C$6,2,FALSE())</f>
        <v>07:30</v>
      </c>
      <c r="J198" s="9" t="str">
        <f aca="false">VLOOKUP($H198,DM_CA_LAM!$A$4:$C$6,3,FALSE())</f>
        <v>17:30</v>
      </c>
      <c r="K198" s="9" t="s">
        <v>147</v>
      </c>
      <c r="L198" s="9" t="s">
        <v>93</v>
      </c>
      <c r="M198" s="9" t="n">
        <f aca="false">IF($K198="","",MAX(0,ROUND((TIMEVALUE($K198)-TIMEVALUE($I198))*1440,0)))</f>
        <v>0</v>
      </c>
      <c r="N198" s="9" t="n">
        <f aca="false">IF($L198="","",MAX(0,ROUND((TIMEVALUE($J198)-TIMEVALUE($L198))*1440,0)))</f>
        <v>0</v>
      </c>
      <c r="O198" s="9" t="n">
        <f aca="false">IF(OR($K198="",$L198=""),0,ROUND(VLOOKUP($H198,DM_CA_LAM!$A$4:$F$6,6,FALSE())-$M198/60-$N198/60,2))</f>
        <v>8</v>
      </c>
      <c r="P198" s="9" t="s">
        <v>108</v>
      </c>
      <c r="Q198" s="9" t="n">
        <v>0</v>
      </c>
      <c r="R198" s="10"/>
      <c r="S198" s="10"/>
      <c r="T198" s="9" t="str">
        <f aca="false">$B198&amp;"_"&amp;TEXT($F198,"yyyymmdd")</f>
        <v>NV030_20260615</v>
      </c>
      <c r="U198" s="9" t="str">
        <f aca="false">VLOOKUP($P198,DM_TRANG_THAI!$A$4:$B$9,2,FALSE())</f>
        <v>P</v>
      </c>
    </row>
    <row r="199" customFormat="false" ht="15.75" hidden="false" customHeight="true" outlineLevel="0" collapsed="false">
      <c r="A199" s="9" t="n">
        <v>196</v>
      </c>
      <c r="B199" s="9" t="s">
        <v>24</v>
      </c>
      <c r="C199" s="10" t="str">
        <f aca="false">VLOOKUP($B199,DM_NHAN_VIEN!$B$4:$F$18,2,FALSE())</f>
        <v>Nguyễn Văn Giám Đốc</v>
      </c>
      <c r="D199" s="9" t="str">
        <f aca="false">VLOOKUP($B199,DM_NHAN_VIEN!$B$4:$F$18,3,FALSE())</f>
        <v>Hành chính</v>
      </c>
      <c r="E199" s="9" t="str">
        <f aca="false">VLOOKUP($B199,DM_NHAN_VIEN!$B$4:$F$18,4,FALSE())</f>
        <v>Giám đốc</v>
      </c>
      <c r="F199" s="18" t="n">
        <v>46189</v>
      </c>
      <c r="G199" s="9" t="str">
        <f aca="false">CHOOSE(WEEKDAY(F199,2),"Thứ Hai","Thứ Ba","Thứ Tư","Thứ Năm","Thứ Sáu","Thứ Bảy","Chủ Nhật")</f>
        <v>Thứ Ba</v>
      </c>
      <c r="H199" s="9" t="str">
        <f aca="false">VLOOKUP($B199,DM_NHAN_VIEN!$B$4:$F$18,5,FALSE())</f>
        <v>Ca Hành Chính</v>
      </c>
      <c r="I199" s="9" t="str">
        <f aca="false">VLOOKUP($H199,DM_CA_LAM!$A$4:$C$6,2,FALSE())</f>
        <v>07:30</v>
      </c>
      <c r="J199" s="9" t="str">
        <f aca="false">VLOOKUP($H199,DM_CA_LAM!$A$4:$C$6,3,FALSE())</f>
        <v>17:30</v>
      </c>
      <c r="K199" s="9" t="s">
        <v>155</v>
      </c>
      <c r="L199" s="9" t="s">
        <v>164</v>
      </c>
      <c r="M199" s="9" t="n">
        <f aca="false">IF($K199="","",MAX(0,ROUND((TIMEVALUE($K199)-TIMEVALUE($I199))*1440,0)))</f>
        <v>32</v>
      </c>
      <c r="N199" s="9" t="n">
        <f aca="false">IF($L199="","",MAX(0,ROUND((TIMEVALUE($J199)-TIMEVALUE($L199))*1440,0)))</f>
        <v>0</v>
      </c>
      <c r="O199" s="9" t="n">
        <f aca="false">IF(OR($K199="",$L199=""),0,ROUND(VLOOKUP($H199,DM_CA_LAM!$A$4:$F$6,6,FALSE())-$M199/60-$N199/60,2))</f>
        <v>7.47</v>
      </c>
      <c r="P199" s="9" t="s">
        <v>111</v>
      </c>
      <c r="Q199" s="9" t="n">
        <v>0</v>
      </c>
      <c r="R199" s="10"/>
      <c r="S199" s="10"/>
      <c r="T199" s="9" t="str">
        <f aca="false">$B199&amp;"_"&amp;TEXT($F199,"yyyymmdd")</f>
        <v>NV002_20260616</v>
      </c>
      <c r="U199" s="9" t="str">
        <f aca="false">VLOOKUP($P199,DM_TRANG_THAI!$A$4:$B$9,2,FALSE())</f>
        <v>L</v>
      </c>
    </row>
    <row r="200" customFormat="false" ht="15.75" hidden="false" customHeight="true" outlineLevel="0" collapsed="false">
      <c r="A200" s="9" t="n">
        <v>197</v>
      </c>
      <c r="B200" s="9" t="s">
        <v>30</v>
      </c>
      <c r="C200" s="10" t="str">
        <f aca="false">VLOOKUP($B200,DM_NHAN_VIEN!$B$4:$F$18,2,FALSE())</f>
        <v>Trần Thị Nhân Sự</v>
      </c>
      <c r="D200" s="9" t="str">
        <f aca="false">VLOOKUP($B200,DM_NHAN_VIEN!$B$4:$F$18,3,FALSE())</f>
        <v>Nhân sự</v>
      </c>
      <c r="E200" s="9" t="str">
        <f aca="false">VLOOKUP($B200,DM_NHAN_VIEN!$B$4:$F$18,4,FALSE())</f>
        <v>Trưởng phòng</v>
      </c>
      <c r="F200" s="18" t="n">
        <v>46189</v>
      </c>
      <c r="G200" s="9" t="str">
        <f aca="false">CHOOSE(WEEKDAY(F200,2),"Thứ Hai","Thứ Ba","Thứ Tư","Thứ Năm","Thứ Sáu","Thứ Bảy","Chủ Nhật")</f>
        <v>Thứ Ba</v>
      </c>
      <c r="H200" s="9" t="str">
        <f aca="false">VLOOKUP($B200,DM_NHAN_VIEN!$B$4:$F$18,5,FALSE())</f>
        <v>Ca Hành Chính</v>
      </c>
      <c r="I200" s="9" t="str">
        <f aca="false">VLOOKUP($H200,DM_CA_LAM!$A$4:$C$6,2,FALSE())</f>
        <v>07:30</v>
      </c>
      <c r="J200" s="9" t="str">
        <f aca="false">VLOOKUP($H200,DM_CA_LAM!$A$4:$C$6,3,FALSE())</f>
        <v>17:30</v>
      </c>
      <c r="K200" s="9" t="s">
        <v>189</v>
      </c>
      <c r="L200" s="9" t="s">
        <v>143</v>
      </c>
      <c r="M200" s="9" t="n">
        <f aca="false">IF($K200="","",MAX(0,ROUND((TIMEVALUE($K200)-TIMEVALUE($I200))*1440,0)))</f>
        <v>29</v>
      </c>
      <c r="N200" s="9" t="n">
        <f aca="false">IF($L200="","",MAX(0,ROUND((TIMEVALUE($J200)-TIMEVALUE($L200))*1440,0)))</f>
        <v>0</v>
      </c>
      <c r="O200" s="9" t="n">
        <f aca="false">IF(OR($K200="",$L200=""),0,ROUND(VLOOKUP($H200,DM_CA_LAM!$A$4:$F$6,6,FALSE())-$M200/60-$N200/60,2))</f>
        <v>7.52</v>
      </c>
      <c r="P200" s="9" t="s">
        <v>111</v>
      </c>
      <c r="Q200" s="9" t="n">
        <v>0</v>
      </c>
      <c r="R200" s="10"/>
      <c r="S200" s="10" t="s">
        <v>182</v>
      </c>
      <c r="T200" s="9" t="str">
        <f aca="false">$B200&amp;"_"&amp;TEXT($F200,"yyyymmdd")</f>
        <v>NV003_20260616</v>
      </c>
      <c r="U200" s="9" t="str">
        <f aca="false">VLOOKUP($P200,DM_TRANG_THAI!$A$4:$B$9,2,FALSE())</f>
        <v>L</v>
      </c>
    </row>
    <row r="201" customFormat="false" ht="15.75" hidden="false" customHeight="true" outlineLevel="0" collapsed="false">
      <c r="A201" s="9" t="n">
        <v>198</v>
      </c>
      <c r="B201" s="9" t="s">
        <v>35</v>
      </c>
      <c r="C201" s="10" t="str">
        <f aca="false">VLOOKUP($B201,DM_NHAN_VIEN!$B$4:$F$18,2,FALSE())</f>
        <v>Lê Văn Quản Đốc</v>
      </c>
      <c r="D201" s="9" t="str">
        <f aca="false">VLOOKUP($B201,DM_NHAN_VIEN!$B$4:$F$18,3,FALSE())</f>
        <v>Xưởng sản xuất</v>
      </c>
      <c r="E201" s="9" t="str">
        <f aca="false">VLOOKUP($B201,DM_NHAN_VIEN!$B$4:$F$18,4,FALSE())</f>
        <v>Quản đốc</v>
      </c>
      <c r="F201" s="18" t="n">
        <v>46189</v>
      </c>
      <c r="G201" s="9" t="str">
        <f aca="false">CHOOSE(WEEKDAY(F201,2),"Thứ Hai","Thứ Ba","Thứ Tư","Thứ Năm","Thứ Sáu","Thứ Bảy","Chủ Nhật")</f>
        <v>Thứ Ba</v>
      </c>
      <c r="H201" s="9" t="str">
        <f aca="false">VLOOKUP($B201,DM_NHAN_VIEN!$B$4:$F$18,5,FALSE())</f>
        <v>Ca Hành Chính</v>
      </c>
      <c r="I201" s="9" t="str">
        <f aca="false">VLOOKUP($H201,DM_CA_LAM!$A$4:$C$6,2,FALSE())</f>
        <v>07:30</v>
      </c>
      <c r="J201" s="9" t="str">
        <f aca="false">VLOOKUP($H201,DM_CA_LAM!$A$4:$C$6,3,FALSE())</f>
        <v>17:30</v>
      </c>
      <c r="K201" s="9" t="s">
        <v>142</v>
      </c>
      <c r="L201" s="9" t="s">
        <v>164</v>
      </c>
      <c r="M201" s="9" t="n">
        <f aca="false">IF($K201="","",MAX(0,ROUND((TIMEVALUE($K201)-TIMEVALUE($I201))*1440,0)))</f>
        <v>0</v>
      </c>
      <c r="N201" s="9" t="n">
        <f aca="false">IF($L201="","",MAX(0,ROUND((TIMEVALUE($J201)-TIMEVALUE($L201))*1440,0)))</f>
        <v>0</v>
      </c>
      <c r="O201" s="9" t="n">
        <f aca="false">IF(OR($K201="",$L201=""),0,ROUND(VLOOKUP($H201,DM_CA_LAM!$A$4:$F$6,6,FALSE())-$M201/60-$N201/60,2))</f>
        <v>8</v>
      </c>
      <c r="P201" s="9" t="s">
        <v>108</v>
      </c>
      <c r="Q201" s="9" t="n">
        <v>0</v>
      </c>
      <c r="R201" s="10"/>
      <c r="S201" s="10"/>
      <c r="T201" s="9" t="str">
        <f aca="false">$B201&amp;"_"&amp;TEXT($F201,"yyyymmdd")</f>
        <v>NV004_20260616</v>
      </c>
      <c r="U201" s="9" t="str">
        <f aca="false">VLOOKUP($P201,DM_TRANG_THAI!$A$4:$B$9,2,FALSE())</f>
        <v>P</v>
      </c>
    </row>
    <row r="202" customFormat="false" ht="15.75" hidden="false" customHeight="true" outlineLevel="0" collapsed="false">
      <c r="A202" s="9" t="n">
        <v>199</v>
      </c>
      <c r="B202" s="9" t="s">
        <v>40</v>
      </c>
      <c r="C202" s="10" t="str">
        <f aca="false">VLOOKUP($B202,DM_NHAN_VIEN!$B$4:$F$18,2,FALSE())</f>
        <v>Phạm Công Nhân</v>
      </c>
      <c r="D202" s="9" t="str">
        <f aca="false">VLOOKUP($B202,DM_NHAN_VIEN!$B$4:$F$18,3,FALSE())</f>
        <v>Xưởng sản xuất</v>
      </c>
      <c r="E202" s="9" t="str">
        <f aca="false">VLOOKUP($B202,DM_NHAN_VIEN!$B$4:$F$18,4,FALSE())</f>
        <v>Công nhân</v>
      </c>
      <c r="F202" s="18" t="n">
        <v>46189</v>
      </c>
      <c r="G202" s="9" t="str">
        <f aca="false">CHOOSE(WEEKDAY(F202,2),"Thứ Hai","Thứ Ba","Thứ Tư","Thứ Năm","Thứ Sáu","Thứ Bảy","Chủ Nhật")</f>
        <v>Thứ Ba</v>
      </c>
      <c r="H202" s="9" t="str">
        <f aca="false">VLOOKUP($B202,DM_NHAN_VIEN!$B$4:$F$18,5,FALSE())</f>
        <v>Ca Hành Chính</v>
      </c>
      <c r="I202" s="9" t="str">
        <f aca="false">VLOOKUP($H202,DM_CA_LAM!$A$4:$C$6,2,FALSE())</f>
        <v>07:30</v>
      </c>
      <c r="J202" s="9" t="str">
        <f aca="false">VLOOKUP($H202,DM_CA_LAM!$A$4:$C$6,3,FALSE())</f>
        <v>17:30</v>
      </c>
      <c r="K202" s="9" t="s">
        <v>150</v>
      </c>
      <c r="L202" s="9" t="s">
        <v>174</v>
      </c>
      <c r="M202" s="9" t="n">
        <f aca="false">IF($K202="","",MAX(0,ROUND((TIMEVALUE($K202)-TIMEVALUE($I202))*1440,0)))</f>
        <v>0</v>
      </c>
      <c r="N202" s="9" t="n">
        <f aca="false">IF($L202="","",MAX(0,ROUND((TIMEVALUE($J202)-TIMEVALUE($L202))*1440,0)))</f>
        <v>0</v>
      </c>
      <c r="O202" s="9" t="n">
        <f aca="false">IF(OR($K202="",$L202=""),0,ROUND(VLOOKUP($H202,DM_CA_LAM!$A$4:$F$6,6,FALSE())-$M202/60-$N202/60,2))</f>
        <v>8</v>
      </c>
      <c r="P202" s="9" t="s">
        <v>108</v>
      </c>
      <c r="Q202" s="9" t="n">
        <v>0</v>
      </c>
      <c r="R202" s="10"/>
      <c r="S202" s="10"/>
      <c r="T202" s="9" t="str">
        <f aca="false">$B202&amp;"_"&amp;TEXT($F202,"yyyymmdd")</f>
        <v>NV005_20260616</v>
      </c>
      <c r="U202" s="9" t="str">
        <f aca="false">VLOOKUP($P202,DM_TRANG_THAI!$A$4:$B$9,2,FALSE())</f>
        <v>P</v>
      </c>
    </row>
    <row r="203" customFormat="false" ht="15.75" hidden="false" customHeight="true" outlineLevel="0" collapsed="false">
      <c r="A203" s="9" t="n">
        <v>200</v>
      </c>
      <c r="B203" s="9" t="s">
        <v>44</v>
      </c>
      <c r="C203" s="10" t="str">
        <f aca="false">VLOOKUP($B203,DM_NHAN_VIEN!$B$4:$F$18,2,FALSE())</f>
        <v>Đỗ Thị Hà</v>
      </c>
      <c r="D203" s="9" t="str">
        <f aca="false">VLOOKUP($B203,DM_NHAN_VIEN!$B$4:$F$18,3,FALSE())</f>
        <v>Hành chính</v>
      </c>
      <c r="E203" s="9" t="str">
        <f aca="false">VLOOKUP($B203,DM_NHAN_VIEN!$B$4:$F$18,4,FALSE())</f>
        <v>Trưởng phòng</v>
      </c>
      <c r="F203" s="18" t="n">
        <v>46189</v>
      </c>
      <c r="G203" s="9" t="str">
        <f aca="false">CHOOSE(WEEKDAY(F203,2),"Thứ Hai","Thứ Ba","Thứ Tư","Thứ Năm","Thứ Sáu","Thứ Bảy","Chủ Nhật")</f>
        <v>Thứ Ba</v>
      </c>
      <c r="H203" s="9" t="str">
        <f aca="false">VLOOKUP($B203,DM_NHAN_VIEN!$B$4:$F$18,5,FALSE())</f>
        <v>Ca Hành Chính</v>
      </c>
      <c r="I203" s="9" t="str">
        <f aca="false">VLOOKUP($H203,DM_CA_LAM!$A$4:$C$6,2,FALSE())</f>
        <v>07:30</v>
      </c>
      <c r="J203" s="9" t="str">
        <f aca="false">VLOOKUP($H203,DM_CA_LAM!$A$4:$C$6,3,FALSE())</f>
        <v>17:30</v>
      </c>
      <c r="K203" s="9" t="s">
        <v>160</v>
      </c>
      <c r="L203" s="9" t="s">
        <v>170</v>
      </c>
      <c r="M203" s="9" t="n">
        <f aca="false">IF($K203="","",MAX(0,ROUND((TIMEVALUE($K203)-TIMEVALUE($I203))*1440,0)))</f>
        <v>0</v>
      </c>
      <c r="N203" s="9" t="n">
        <f aca="false">IF($L203="","",MAX(0,ROUND((TIMEVALUE($J203)-TIMEVALUE($L203))*1440,0)))</f>
        <v>0</v>
      </c>
      <c r="O203" s="9" t="n">
        <f aca="false">IF(OR($K203="",$L203=""),0,ROUND(VLOOKUP($H203,DM_CA_LAM!$A$4:$F$6,6,FALSE())-$M203/60-$N203/60,2))</f>
        <v>8</v>
      </c>
      <c r="P203" s="9" t="s">
        <v>108</v>
      </c>
      <c r="Q203" s="9" t="n">
        <v>0</v>
      </c>
      <c r="R203" s="10"/>
      <c r="S203" s="10"/>
      <c r="T203" s="9" t="str">
        <f aca="false">$B203&amp;"_"&amp;TEXT($F203,"yyyymmdd")</f>
        <v>NV006_20260616</v>
      </c>
      <c r="U203" s="9" t="str">
        <f aca="false">VLOOKUP($P203,DM_TRANG_THAI!$A$4:$B$9,2,FALSE())</f>
        <v>P</v>
      </c>
    </row>
    <row r="204" customFormat="false" ht="15.75" hidden="false" customHeight="true" outlineLevel="0" collapsed="false">
      <c r="A204" s="9" t="n">
        <v>201</v>
      </c>
      <c r="B204" s="9" t="s">
        <v>47</v>
      </c>
      <c r="C204" s="10" t="str">
        <f aca="false">VLOOKUP($B204,DM_NHAN_VIEN!$B$4:$F$18,2,FALSE())</f>
        <v>Ngô Văn Tài</v>
      </c>
      <c r="D204" s="9" t="str">
        <f aca="false">VLOOKUP($B204,DM_NHAN_VIEN!$B$4:$F$18,3,FALSE())</f>
        <v>Hành chính</v>
      </c>
      <c r="E204" s="9" t="str">
        <f aca="false">VLOOKUP($B204,DM_NHAN_VIEN!$B$4:$F$18,4,FALSE())</f>
        <v>Phó phòng</v>
      </c>
      <c r="F204" s="18" t="n">
        <v>46189</v>
      </c>
      <c r="G204" s="9" t="str">
        <f aca="false">CHOOSE(WEEKDAY(F204,2),"Thứ Hai","Thứ Ba","Thứ Tư","Thứ Năm","Thứ Sáu","Thứ Bảy","Chủ Nhật")</f>
        <v>Thứ Ba</v>
      </c>
      <c r="H204" s="9" t="str">
        <f aca="false">VLOOKUP($B204,DM_NHAN_VIEN!$B$4:$F$18,5,FALSE())</f>
        <v>Ca Hành Chính</v>
      </c>
      <c r="I204" s="9" t="str">
        <f aca="false">VLOOKUP($H204,DM_CA_LAM!$A$4:$C$6,2,FALSE())</f>
        <v>07:30</v>
      </c>
      <c r="J204" s="9" t="str">
        <f aca="false">VLOOKUP($H204,DM_CA_LAM!$A$4:$C$6,3,FALSE())</f>
        <v>17:30</v>
      </c>
      <c r="K204" s="9" t="s">
        <v>92</v>
      </c>
      <c r="L204" s="9" t="s">
        <v>162</v>
      </c>
      <c r="M204" s="9" t="n">
        <f aca="false">IF($K204="","",MAX(0,ROUND((TIMEVALUE($K204)-TIMEVALUE($I204))*1440,0)))</f>
        <v>0</v>
      </c>
      <c r="N204" s="9" t="n">
        <f aca="false">IF($L204="","",MAX(0,ROUND((TIMEVALUE($J204)-TIMEVALUE($L204))*1440,0)))</f>
        <v>0</v>
      </c>
      <c r="O204" s="9" t="n">
        <f aca="false">IF(OR($K204="",$L204=""),0,ROUND(VLOOKUP($H204,DM_CA_LAM!$A$4:$F$6,6,FALSE())-$M204/60-$N204/60,2))</f>
        <v>8</v>
      </c>
      <c r="P204" s="9" t="s">
        <v>108</v>
      </c>
      <c r="Q204" s="9" t="n">
        <v>0</v>
      </c>
      <c r="R204" s="10"/>
      <c r="S204" s="10"/>
      <c r="T204" s="9" t="str">
        <f aca="false">$B204&amp;"_"&amp;TEXT($F204,"yyyymmdd")</f>
        <v>NV007_20260616</v>
      </c>
      <c r="U204" s="9" t="str">
        <f aca="false">VLOOKUP($P204,DM_TRANG_THAI!$A$4:$B$9,2,FALSE())</f>
        <v>P</v>
      </c>
    </row>
    <row r="205" customFormat="false" ht="15.75" hidden="false" customHeight="true" outlineLevel="0" collapsed="false">
      <c r="A205" s="9" t="n">
        <v>202</v>
      </c>
      <c r="B205" s="9" t="s">
        <v>51</v>
      </c>
      <c r="C205" s="10" t="str">
        <f aca="false">VLOOKUP($B205,DM_NHAN_VIEN!$B$4:$F$18,2,FALSE())</f>
        <v>Vũ Thị Nga</v>
      </c>
      <c r="D205" s="9" t="str">
        <f aca="false">VLOOKUP($B205,DM_NHAN_VIEN!$B$4:$F$18,3,FALSE())</f>
        <v>Hành chính</v>
      </c>
      <c r="E205" s="9" t="str">
        <f aca="false">VLOOKUP($B205,DM_NHAN_VIEN!$B$4:$F$18,4,FALSE())</f>
        <v>Chuyên viên</v>
      </c>
      <c r="F205" s="18" t="n">
        <v>46189</v>
      </c>
      <c r="G205" s="9" t="str">
        <f aca="false">CHOOSE(WEEKDAY(F205,2),"Thứ Hai","Thứ Ba","Thứ Tư","Thứ Năm","Thứ Sáu","Thứ Bảy","Chủ Nhật")</f>
        <v>Thứ Ba</v>
      </c>
      <c r="H205" s="9" t="str">
        <f aca="false">VLOOKUP($B205,DM_NHAN_VIEN!$B$4:$F$18,5,FALSE())</f>
        <v>Ca Hành Chính</v>
      </c>
      <c r="I205" s="9" t="str">
        <f aca="false">VLOOKUP($H205,DM_CA_LAM!$A$4:$C$6,2,FALSE())</f>
        <v>07:30</v>
      </c>
      <c r="J205" s="9" t="str">
        <f aca="false">VLOOKUP($H205,DM_CA_LAM!$A$4:$C$6,3,FALSE())</f>
        <v>17:30</v>
      </c>
      <c r="K205" s="9" t="s">
        <v>161</v>
      </c>
      <c r="L205" s="9" t="s">
        <v>143</v>
      </c>
      <c r="M205" s="9" t="n">
        <f aca="false">IF($K205="","",MAX(0,ROUND((TIMEVALUE($K205)-TIMEVALUE($I205))*1440,0)))</f>
        <v>0</v>
      </c>
      <c r="N205" s="9" t="n">
        <f aca="false">IF($L205="","",MAX(0,ROUND((TIMEVALUE($J205)-TIMEVALUE($L205))*1440,0)))</f>
        <v>0</v>
      </c>
      <c r="O205" s="9" t="n">
        <f aca="false">IF(OR($K205="",$L205=""),0,ROUND(VLOOKUP($H205,DM_CA_LAM!$A$4:$F$6,6,FALSE())-$M205/60-$N205/60,2))</f>
        <v>8</v>
      </c>
      <c r="P205" s="9" t="s">
        <v>108</v>
      </c>
      <c r="Q205" s="9" t="n">
        <v>0</v>
      </c>
      <c r="R205" s="10"/>
      <c r="S205" s="10"/>
      <c r="T205" s="9" t="str">
        <f aca="false">$B205&amp;"_"&amp;TEXT($F205,"yyyymmdd")</f>
        <v>NV008_20260616</v>
      </c>
      <c r="U205" s="9" t="str">
        <f aca="false">VLOOKUP($P205,DM_TRANG_THAI!$A$4:$B$9,2,FALSE())</f>
        <v>P</v>
      </c>
    </row>
    <row r="206" customFormat="false" ht="15.75" hidden="false" customHeight="true" outlineLevel="0" collapsed="false">
      <c r="A206" s="9" t="n">
        <v>203</v>
      </c>
      <c r="B206" s="9" t="s">
        <v>55</v>
      </c>
      <c r="C206" s="10" t="str">
        <f aca="false">VLOOKUP($B206,DM_NHAN_VIEN!$B$4:$F$18,2,FALSE())</f>
        <v>Đặng Thị Hồng</v>
      </c>
      <c r="D206" s="9" t="str">
        <f aca="false">VLOOKUP($B206,DM_NHAN_VIEN!$B$4:$F$18,3,FALSE())</f>
        <v>Nhân sự</v>
      </c>
      <c r="E206" s="9" t="str">
        <f aca="false">VLOOKUP($B206,DM_NHAN_VIEN!$B$4:$F$18,4,FALSE())</f>
        <v>Chuyên viên</v>
      </c>
      <c r="F206" s="18" t="n">
        <v>46189</v>
      </c>
      <c r="G206" s="9" t="str">
        <f aca="false">CHOOSE(WEEKDAY(F206,2),"Thứ Hai","Thứ Ba","Thứ Tư","Thứ Năm","Thứ Sáu","Thứ Bảy","Chủ Nhật")</f>
        <v>Thứ Ba</v>
      </c>
      <c r="H206" s="9" t="str">
        <f aca="false">VLOOKUP($B206,DM_NHAN_VIEN!$B$4:$F$18,5,FALSE())</f>
        <v>Ca Hành Chính</v>
      </c>
      <c r="I206" s="9" t="str">
        <f aca="false">VLOOKUP($H206,DM_CA_LAM!$A$4:$C$6,2,FALSE())</f>
        <v>07:30</v>
      </c>
      <c r="J206" s="9" t="str">
        <f aca="false">VLOOKUP($H206,DM_CA_LAM!$A$4:$C$6,3,FALSE())</f>
        <v>17:30</v>
      </c>
      <c r="K206" s="9" t="s">
        <v>150</v>
      </c>
      <c r="L206" s="9" t="s">
        <v>159</v>
      </c>
      <c r="M206" s="9" t="n">
        <f aca="false">IF($K206="","",MAX(0,ROUND((TIMEVALUE($K206)-TIMEVALUE($I206))*1440,0)))</f>
        <v>0</v>
      </c>
      <c r="N206" s="9" t="n">
        <f aca="false">IF($L206="","",MAX(0,ROUND((TIMEVALUE($J206)-TIMEVALUE($L206))*1440,0)))</f>
        <v>0</v>
      </c>
      <c r="O206" s="9" t="n">
        <f aca="false">IF(OR($K206="",$L206=""),0,ROUND(VLOOKUP($H206,DM_CA_LAM!$A$4:$F$6,6,FALSE())-$M206/60-$N206/60,2))</f>
        <v>8</v>
      </c>
      <c r="P206" s="9" t="s">
        <v>108</v>
      </c>
      <c r="Q206" s="9" t="n">
        <v>0</v>
      </c>
      <c r="R206" s="10"/>
      <c r="S206" s="10"/>
      <c r="T206" s="9" t="str">
        <f aca="false">$B206&amp;"_"&amp;TEXT($F206,"yyyymmdd")</f>
        <v>NV010_20260616</v>
      </c>
      <c r="U206" s="9" t="str">
        <f aca="false">VLOOKUP($P206,DM_TRANG_THAI!$A$4:$B$9,2,FALSE())</f>
        <v>P</v>
      </c>
    </row>
    <row r="207" customFormat="false" ht="15.75" hidden="false" customHeight="true" outlineLevel="0" collapsed="false">
      <c r="A207" s="9" t="n">
        <v>204</v>
      </c>
      <c r="B207" s="9" t="s">
        <v>58</v>
      </c>
      <c r="C207" s="10" t="str">
        <f aca="false">VLOOKUP($B207,DM_NHAN_VIEN!$B$4:$F$18,2,FALSE())</f>
        <v>Chu Văn Minh</v>
      </c>
      <c r="D207" s="9" t="str">
        <f aca="false">VLOOKUP($B207,DM_NHAN_VIEN!$B$4:$F$18,3,FALSE())</f>
        <v>Nhân sự</v>
      </c>
      <c r="E207" s="9" t="str">
        <f aca="false">VLOOKUP($B207,DM_NHAN_VIEN!$B$4:$F$18,4,FALSE())</f>
        <v>Chuyên viên</v>
      </c>
      <c r="F207" s="18" t="n">
        <v>46189</v>
      </c>
      <c r="G207" s="9" t="str">
        <f aca="false">CHOOSE(WEEKDAY(F207,2),"Thứ Hai","Thứ Ba","Thứ Tư","Thứ Năm","Thứ Sáu","Thứ Bảy","Chủ Nhật")</f>
        <v>Thứ Ba</v>
      </c>
      <c r="H207" s="9" t="str">
        <f aca="false">VLOOKUP($B207,DM_NHAN_VIEN!$B$4:$F$18,5,FALSE())</f>
        <v>Ca Hành Chính</v>
      </c>
      <c r="I207" s="9" t="str">
        <f aca="false">VLOOKUP($H207,DM_CA_LAM!$A$4:$C$6,2,FALSE())</f>
        <v>07:30</v>
      </c>
      <c r="J207" s="9" t="str">
        <f aca="false">VLOOKUP($H207,DM_CA_LAM!$A$4:$C$6,3,FALSE())</f>
        <v>17:30</v>
      </c>
      <c r="K207" s="9" t="s">
        <v>145</v>
      </c>
      <c r="L207" s="9" t="s">
        <v>146</v>
      </c>
      <c r="M207" s="9" t="n">
        <f aca="false">IF($K207="","",MAX(0,ROUND((TIMEVALUE($K207)-TIMEVALUE($I207))*1440,0)))</f>
        <v>0</v>
      </c>
      <c r="N207" s="9" t="n">
        <f aca="false">IF($L207="","",MAX(0,ROUND((TIMEVALUE($J207)-TIMEVALUE($L207))*1440,0)))</f>
        <v>0</v>
      </c>
      <c r="O207" s="9" t="n">
        <f aca="false">IF(OR($K207="",$L207=""),0,ROUND(VLOOKUP($H207,DM_CA_LAM!$A$4:$F$6,6,FALSE())-$M207/60-$N207/60,2))</f>
        <v>8</v>
      </c>
      <c r="P207" s="9" t="s">
        <v>108</v>
      </c>
      <c r="Q207" s="9" t="n">
        <v>0</v>
      </c>
      <c r="R207" s="10"/>
      <c r="S207" s="10"/>
      <c r="T207" s="9" t="str">
        <f aca="false">$B207&amp;"_"&amp;TEXT($F207,"yyyymmdd")</f>
        <v>NV011_20260616</v>
      </c>
      <c r="U207" s="9" t="str">
        <f aca="false">VLOOKUP($P207,DM_TRANG_THAI!$A$4:$B$9,2,FALSE())</f>
        <v>P</v>
      </c>
    </row>
    <row r="208" customFormat="false" ht="15.75" hidden="false" customHeight="true" outlineLevel="0" collapsed="false">
      <c r="A208" s="9" t="n">
        <v>205</v>
      </c>
      <c r="B208" s="9" t="s">
        <v>61</v>
      </c>
      <c r="C208" s="10" t="str">
        <f aca="false">VLOOKUP($B208,DM_NHAN_VIEN!$B$4:$F$18,2,FALSE())</f>
        <v>Phan Thị Khánh</v>
      </c>
      <c r="D208" s="9" t="str">
        <f aca="false">VLOOKUP($B208,DM_NHAN_VIEN!$B$4:$F$18,3,FALSE())</f>
        <v>Kế toán</v>
      </c>
      <c r="E208" s="9" t="str">
        <f aca="false">VLOOKUP($B208,DM_NHAN_VIEN!$B$4:$F$18,4,FALSE())</f>
        <v>Trưởng phòng</v>
      </c>
      <c r="F208" s="18" t="n">
        <v>46189</v>
      </c>
      <c r="G208" s="9" t="str">
        <f aca="false">CHOOSE(WEEKDAY(F208,2),"Thứ Hai","Thứ Ba","Thứ Tư","Thứ Năm","Thứ Sáu","Thứ Bảy","Chủ Nhật")</f>
        <v>Thứ Ba</v>
      </c>
      <c r="H208" s="9" t="str">
        <f aca="false">VLOOKUP($B208,DM_NHAN_VIEN!$B$4:$F$18,5,FALSE())</f>
        <v>Ca Hành Chính</v>
      </c>
      <c r="I208" s="9" t="str">
        <f aca="false">VLOOKUP($H208,DM_CA_LAM!$A$4:$C$6,2,FALSE())</f>
        <v>07:30</v>
      </c>
      <c r="J208" s="9" t="str">
        <f aca="false">VLOOKUP($H208,DM_CA_LAM!$A$4:$C$6,3,FALSE())</f>
        <v>17:30</v>
      </c>
      <c r="K208" s="9" t="s">
        <v>145</v>
      </c>
      <c r="L208" s="9" t="s">
        <v>165</v>
      </c>
      <c r="M208" s="9" t="n">
        <f aca="false">IF($K208="","",MAX(0,ROUND((TIMEVALUE($K208)-TIMEVALUE($I208))*1440,0)))</f>
        <v>0</v>
      </c>
      <c r="N208" s="9" t="n">
        <f aca="false">IF($L208="","",MAX(0,ROUND((TIMEVALUE($J208)-TIMEVALUE($L208))*1440,0)))</f>
        <v>0</v>
      </c>
      <c r="O208" s="9" t="n">
        <f aca="false">IF(OR($K208="",$L208=""),0,ROUND(VLOOKUP($H208,DM_CA_LAM!$A$4:$F$6,6,FALSE())-$M208/60-$N208/60,2))</f>
        <v>8</v>
      </c>
      <c r="P208" s="9" t="s">
        <v>108</v>
      </c>
      <c r="Q208" s="9" t="n">
        <v>2.5</v>
      </c>
      <c r="R208" s="10" t="s">
        <v>184</v>
      </c>
      <c r="S208" s="10"/>
      <c r="T208" s="9" t="str">
        <f aca="false">$B208&amp;"_"&amp;TEXT($F208,"yyyymmdd")</f>
        <v>NV014_20260616</v>
      </c>
      <c r="U208" s="9" t="str">
        <f aca="false">VLOOKUP($P208,DM_TRANG_THAI!$A$4:$B$9,2,FALSE())</f>
        <v>P</v>
      </c>
    </row>
    <row r="209" customFormat="false" ht="15.75" hidden="false" customHeight="true" outlineLevel="0" collapsed="false">
      <c r="A209" s="9" t="n">
        <v>206</v>
      </c>
      <c r="B209" s="9" t="s">
        <v>65</v>
      </c>
      <c r="C209" s="10" t="str">
        <f aca="false">VLOOKUP($B209,DM_NHAN_VIEN!$B$4:$F$18,2,FALSE())</f>
        <v>Trịnh Văn Hùng</v>
      </c>
      <c r="D209" s="9" t="str">
        <f aca="false">VLOOKUP($B209,DM_NHAN_VIEN!$B$4:$F$18,3,FALSE())</f>
        <v>Kế toán</v>
      </c>
      <c r="E209" s="9" t="str">
        <f aca="false">VLOOKUP($B209,DM_NHAN_VIEN!$B$4:$F$18,4,FALSE())</f>
        <v>Phó phòng</v>
      </c>
      <c r="F209" s="18" t="n">
        <v>46189</v>
      </c>
      <c r="G209" s="9" t="str">
        <f aca="false">CHOOSE(WEEKDAY(F209,2),"Thứ Hai","Thứ Ba","Thứ Tư","Thứ Năm","Thứ Sáu","Thứ Bảy","Chủ Nhật")</f>
        <v>Thứ Ba</v>
      </c>
      <c r="H209" s="9" t="str">
        <f aca="false">VLOOKUP($B209,DM_NHAN_VIEN!$B$4:$F$18,5,FALSE())</f>
        <v>Ca Hành Chính</v>
      </c>
      <c r="I209" s="9" t="str">
        <f aca="false">VLOOKUP($H209,DM_CA_LAM!$A$4:$C$6,2,FALSE())</f>
        <v>07:30</v>
      </c>
      <c r="J209" s="9" t="str">
        <f aca="false">VLOOKUP($H209,DM_CA_LAM!$A$4:$C$6,3,FALSE())</f>
        <v>17:30</v>
      </c>
      <c r="K209" s="9" t="s">
        <v>92</v>
      </c>
      <c r="L209" s="9" t="s">
        <v>183</v>
      </c>
      <c r="M209" s="9" t="n">
        <f aca="false">IF($K209="","",MAX(0,ROUND((TIMEVALUE($K209)-TIMEVALUE($I209))*1440,0)))</f>
        <v>0</v>
      </c>
      <c r="N209" s="9" t="n">
        <f aca="false">IF($L209="","",MAX(0,ROUND((TIMEVALUE($J209)-TIMEVALUE($L209))*1440,0)))</f>
        <v>0</v>
      </c>
      <c r="O209" s="9" t="n">
        <f aca="false">IF(OR($K209="",$L209=""),0,ROUND(VLOOKUP($H209,DM_CA_LAM!$A$4:$F$6,6,FALSE())-$M209/60-$N209/60,2))</f>
        <v>8</v>
      </c>
      <c r="P209" s="9" t="s">
        <v>108</v>
      </c>
      <c r="Q209" s="9" t="n">
        <v>0</v>
      </c>
      <c r="R209" s="10"/>
      <c r="S209" s="10"/>
      <c r="T209" s="9" t="str">
        <f aca="false">$B209&amp;"_"&amp;TEXT($F209,"yyyymmdd")</f>
        <v>NV015_20260616</v>
      </c>
      <c r="U209" s="9" t="str">
        <f aca="false">VLOOKUP($P209,DM_TRANG_THAI!$A$4:$B$9,2,FALSE())</f>
        <v>P</v>
      </c>
    </row>
    <row r="210" customFormat="false" ht="15.75" hidden="false" customHeight="true" outlineLevel="0" collapsed="false">
      <c r="A210" s="9" t="n">
        <v>207</v>
      </c>
      <c r="B210" s="9" t="s">
        <v>68</v>
      </c>
      <c r="C210" s="10" t="str">
        <f aca="false">VLOOKUP($B210,DM_NHAN_VIEN!$B$4:$F$18,2,FALSE())</f>
        <v>Hoàng Văn Lộc</v>
      </c>
      <c r="D210" s="9" t="str">
        <f aca="false">VLOOKUP($B210,DM_NHAN_VIEN!$B$4:$F$18,3,FALSE())</f>
        <v>Kinh doanh</v>
      </c>
      <c r="E210" s="9" t="str">
        <f aca="false">VLOOKUP($B210,DM_NHAN_VIEN!$B$4:$F$18,4,FALSE())</f>
        <v>Trưởng phòng</v>
      </c>
      <c r="F210" s="18" t="n">
        <v>46189</v>
      </c>
      <c r="G210" s="9" t="str">
        <f aca="false">CHOOSE(WEEKDAY(F210,2),"Thứ Hai","Thứ Ba","Thứ Tư","Thứ Năm","Thứ Sáu","Thứ Bảy","Chủ Nhật")</f>
        <v>Thứ Ba</v>
      </c>
      <c r="H210" s="9" t="str">
        <f aca="false">VLOOKUP($B210,DM_NHAN_VIEN!$B$4:$F$18,5,FALSE())</f>
        <v>Ca Hành Chính</v>
      </c>
      <c r="I210" s="9" t="str">
        <f aca="false">VLOOKUP($H210,DM_CA_LAM!$A$4:$C$6,2,FALSE())</f>
        <v>07:30</v>
      </c>
      <c r="J210" s="9" t="str">
        <f aca="false">VLOOKUP($H210,DM_CA_LAM!$A$4:$C$6,3,FALSE())</f>
        <v>17:30</v>
      </c>
      <c r="K210" s="9" t="s">
        <v>150</v>
      </c>
      <c r="L210" s="9" t="s">
        <v>165</v>
      </c>
      <c r="M210" s="9" t="n">
        <f aca="false">IF($K210="","",MAX(0,ROUND((TIMEVALUE($K210)-TIMEVALUE($I210))*1440,0)))</f>
        <v>0</v>
      </c>
      <c r="N210" s="9" t="n">
        <f aca="false">IF($L210="","",MAX(0,ROUND((TIMEVALUE($J210)-TIMEVALUE($L210))*1440,0)))</f>
        <v>0</v>
      </c>
      <c r="O210" s="9" t="n">
        <f aca="false">IF(OR($K210="",$L210=""),0,ROUND(VLOOKUP($H210,DM_CA_LAM!$A$4:$F$6,6,FALSE())-$M210/60-$N210/60,2))</f>
        <v>8</v>
      </c>
      <c r="P210" s="9" t="s">
        <v>108</v>
      </c>
      <c r="Q210" s="9" t="n">
        <v>1</v>
      </c>
      <c r="R210" s="10" t="s">
        <v>169</v>
      </c>
      <c r="S210" s="10"/>
      <c r="T210" s="9" t="str">
        <f aca="false">$B210&amp;"_"&amp;TEXT($F210,"yyyymmdd")</f>
        <v>NV019_20260616</v>
      </c>
      <c r="U210" s="9" t="str">
        <f aca="false">VLOOKUP($P210,DM_TRANG_THAI!$A$4:$B$9,2,FALSE())</f>
        <v>P</v>
      </c>
    </row>
    <row r="211" customFormat="false" ht="15.75" hidden="false" customHeight="true" outlineLevel="0" collapsed="false">
      <c r="A211" s="9" t="n">
        <v>208</v>
      </c>
      <c r="B211" s="9" t="s">
        <v>72</v>
      </c>
      <c r="C211" s="10" t="str">
        <f aca="false">VLOOKUP($B211,DM_NHAN_VIEN!$B$4:$F$18,2,FALSE())</f>
        <v>Nguyễn Văn Phú</v>
      </c>
      <c r="D211" s="9" t="str">
        <f aca="false">VLOOKUP($B211,DM_NHAN_VIEN!$B$4:$F$18,3,FALSE())</f>
        <v>Kinh doanh</v>
      </c>
      <c r="E211" s="9" t="str">
        <f aca="false">VLOOKUP($B211,DM_NHAN_VIEN!$B$4:$F$18,4,FALSE())</f>
        <v>Nhân viên</v>
      </c>
      <c r="F211" s="18" t="n">
        <v>46189</v>
      </c>
      <c r="G211" s="9" t="str">
        <f aca="false">CHOOSE(WEEKDAY(F211,2),"Thứ Hai","Thứ Ba","Thứ Tư","Thứ Năm","Thứ Sáu","Thứ Bảy","Chủ Nhật")</f>
        <v>Thứ Ba</v>
      </c>
      <c r="H211" s="9" t="str">
        <f aca="false">VLOOKUP($B211,DM_NHAN_VIEN!$B$4:$F$18,5,FALSE())</f>
        <v>Ca Hành Chính</v>
      </c>
      <c r="I211" s="9" t="str">
        <f aca="false">VLOOKUP($H211,DM_CA_LAM!$A$4:$C$6,2,FALSE())</f>
        <v>07:30</v>
      </c>
      <c r="J211" s="9" t="str">
        <f aca="false">VLOOKUP($H211,DM_CA_LAM!$A$4:$C$6,3,FALSE())</f>
        <v>17:30</v>
      </c>
      <c r="K211" s="9" t="s">
        <v>158</v>
      </c>
      <c r="L211" s="9" t="s">
        <v>174</v>
      </c>
      <c r="M211" s="9" t="n">
        <f aca="false">IF($K211="","",MAX(0,ROUND((TIMEVALUE($K211)-TIMEVALUE($I211))*1440,0)))</f>
        <v>0</v>
      </c>
      <c r="N211" s="9" t="n">
        <f aca="false">IF($L211="","",MAX(0,ROUND((TIMEVALUE($J211)-TIMEVALUE($L211))*1440,0)))</f>
        <v>0</v>
      </c>
      <c r="O211" s="9" t="n">
        <f aca="false">IF(OR($K211="",$L211=""),0,ROUND(VLOOKUP($H211,DM_CA_LAM!$A$4:$F$6,6,FALSE())-$M211/60-$N211/60,2))</f>
        <v>8</v>
      </c>
      <c r="P211" s="9" t="s">
        <v>108</v>
      </c>
      <c r="Q211" s="9" t="n">
        <v>0</v>
      </c>
      <c r="R211" s="10"/>
      <c r="S211" s="10"/>
      <c r="T211" s="9" t="str">
        <f aca="false">$B211&amp;"_"&amp;TEXT($F211,"yyyymmdd")</f>
        <v>NV021_20260616</v>
      </c>
      <c r="U211" s="9" t="str">
        <f aca="false">VLOOKUP($P211,DM_TRANG_THAI!$A$4:$B$9,2,FALSE())</f>
        <v>P</v>
      </c>
    </row>
    <row r="212" customFormat="false" ht="15.75" hidden="false" customHeight="true" outlineLevel="0" collapsed="false">
      <c r="A212" s="9" t="n">
        <v>209</v>
      </c>
      <c r="B212" s="9" t="s">
        <v>76</v>
      </c>
      <c r="C212" s="10" t="str">
        <f aca="false">VLOOKUP($B212,DM_NHAN_VIEN!$B$4:$F$18,2,FALSE())</f>
        <v>Lý Văn Dũng</v>
      </c>
      <c r="D212" s="9" t="str">
        <f aca="false">VLOOKUP($B212,DM_NHAN_VIEN!$B$4:$F$18,3,FALSE())</f>
        <v>Xưởng sản xuất</v>
      </c>
      <c r="E212" s="9" t="str">
        <f aca="false">VLOOKUP($B212,DM_NHAN_VIEN!$B$4:$F$18,4,FALSE())</f>
        <v>Tổ trưởng</v>
      </c>
      <c r="F212" s="18" t="n">
        <v>46189</v>
      </c>
      <c r="G212" s="9" t="str">
        <f aca="false">CHOOSE(WEEKDAY(F212,2),"Thứ Hai","Thứ Ba","Thứ Tư","Thứ Năm","Thứ Sáu","Thứ Bảy","Chủ Nhật")</f>
        <v>Thứ Ba</v>
      </c>
      <c r="H212" s="9" t="str">
        <f aca="false">VLOOKUP($B212,DM_NHAN_VIEN!$B$4:$F$18,5,FALSE())</f>
        <v>Ca Hành Chính</v>
      </c>
      <c r="I212" s="9" t="str">
        <f aca="false">VLOOKUP($H212,DM_CA_LAM!$A$4:$C$6,2,FALSE())</f>
        <v>07:30</v>
      </c>
      <c r="J212" s="9" t="str">
        <f aca="false">VLOOKUP($H212,DM_CA_LAM!$A$4:$C$6,3,FALSE())</f>
        <v>17:30</v>
      </c>
      <c r="K212" s="9" t="s">
        <v>158</v>
      </c>
      <c r="L212" s="9" t="s">
        <v>153</v>
      </c>
      <c r="M212" s="9" t="n">
        <f aca="false">IF($K212="","",MAX(0,ROUND((TIMEVALUE($K212)-TIMEVALUE($I212))*1440,0)))</f>
        <v>0</v>
      </c>
      <c r="N212" s="9" t="n">
        <f aca="false">IF($L212="","",MAX(0,ROUND((TIMEVALUE($J212)-TIMEVALUE($L212))*1440,0)))</f>
        <v>0</v>
      </c>
      <c r="O212" s="9" t="n">
        <f aca="false">IF(OR($K212="",$L212=""),0,ROUND(VLOOKUP($H212,DM_CA_LAM!$A$4:$F$6,6,FALSE())-$M212/60-$N212/60,2))</f>
        <v>8</v>
      </c>
      <c r="P212" s="9" t="s">
        <v>108</v>
      </c>
      <c r="Q212" s="9" t="n">
        <v>0</v>
      </c>
      <c r="R212" s="10"/>
      <c r="S212" s="10"/>
      <c r="T212" s="9" t="str">
        <f aca="false">$B212&amp;"_"&amp;TEXT($F212,"yyyymmdd")</f>
        <v>NV029_20260616</v>
      </c>
      <c r="U212" s="9" t="str">
        <f aca="false">VLOOKUP($P212,DM_TRANG_THAI!$A$4:$B$9,2,FALSE())</f>
        <v>P</v>
      </c>
    </row>
    <row r="213" customFormat="false" ht="15.75" hidden="false" customHeight="true" outlineLevel="0" collapsed="false">
      <c r="A213" s="9" t="n">
        <v>210</v>
      </c>
      <c r="B213" s="9" t="s">
        <v>80</v>
      </c>
      <c r="C213" s="10" t="str">
        <f aca="false">VLOOKUP($B213,DM_NHAN_VIEN!$B$4:$F$18,2,FALSE())</f>
        <v>Tống Văn Thắng</v>
      </c>
      <c r="D213" s="9" t="str">
        <f aca="false">VLOOKUP($B213,DM_NHAN_VIEN!$B$4:$F$18,3,FALSE())</f>
        <v>Xưởng sản xuất</v>
      </c>
      <c r="E213" s="9" t="str">
        <f aca="false">VLOOKUP($B213,DM_NHAN_VIEN!$B$4:$F$18,4,FALSE())</f>
        <v>Tổ trưởng</v>
      </c>
      <c r="F213" s="18" t="n">
        <v>46189</v>
      </c>
      <c r="G213" s="9" t="str">
        <f aca="false">CHOOSE(WEEKDAY(F213,2),"Thứ Hai","Thứ Ba","Thứ Tư","Thứ Năm","Thứ Sáu","Thứ Bảy","Chủ Nhật")</f>
        <v>Thứ Ba</v>
      </c>
      <c r="H213" s="9" t="str">
        <f aca="false">VLOOKUP($B213,DM_NHAN_VIEN!$B$4:$F$18,5,FALSE())</f>
        <v>Ca Hành Chính</v>
      </c>
      <c r="I213" s="9" t="str">
        <f aca="false">VLOOKUP($H213,DM_CA_LAM!$A$4:$C$6,2,FALSE())</f>
        <v>07:30</v>
      </c>
      <c r="J213" s="9" t="str">
        <f aca="false">VLOOKUP($H213,DM_CA_LAM!$A$4:$C$6,3,FALSE())</f>
        <v>17:30</v>
      </c>
      <c r="K213" s="9" t="s">
        <v>156</v>
      </c>
      <c r="L213" s="9" t="s">
        <v>153</v>
      </c>
      <c r="M213" s="9" t="n">
        <f aca="false">IF($K213="","",MAX(0,ROUND((TIMEVALUE($K213)-TIMEVALUE($I213))*1440,0)))</f>
        <v>0</v>
      </c>
      <c r="N213" s="9" t="n">
        <f aca="false">IF($L213="","",MAX(0,ROUND((TIMEVALUE($J213)-TIMEVALUE($L213))*1440,0)))</f>
        <v>0</v>
      </c>
      <c r="O213" s="9" t="n">
        <f aca="false">IF(OR($K213="",$L213=""),0,ROUND(VLOOKUP($H213,DM_CA_LAM!$A$4:$F$6,6,FALSE())-$M213/60-$N213/60,2))</f>
        <v>8</v>
      </c>
      <c r="P213" s="9" t="s">
        <v>108</v>
      </c>
      <c r="Q213" s="9" t="n">
        <v>0</v>
      </c>
      <c r="R213" s="10"/>
      <c r="S213" s="10"/>
      <c r="T213" s="9" t="str">
        <f aca="false">$B213&amp;"_"&amp;TEXT($F213,"yyyymmdd")</f>
        <v>NV030_20260616</v>
      </c>
      <c r="U213" s="9" t="str">
        <f aca="false">VLOOKUP($P213,DM_TRANG_THAI!$A$4:$B$9,2,FALSE())</f>
        <v>P</v>
      </c>
    </row>
    <row r="214" customFormat="false" ht="15.75" hidden="false" customHeight="true" outlineLevel="0" collapsed="false">
      <c r="A214" s="9" t="n">
        <v>211</v>
      </c>
      <c r="B214" s="9" t="s">
        <v>24</v>
      </c>
      <c r="C214" s="10" t="str">
        <f aca="false">VLOOKUP($B214,DM_NHAN_VIEN!$B$4:$F$18,2,FALSE())</f>
        <v>Nguyễn Văn Giám Đốc</v>
      </c>
      <c r="D214" s="9" t="str">
        <f aca="false">VLOOKUP($B214,DM_NHAN_VIEN!$B$4:$F$18,3,FALSE())</f>
        <v>Hành chính</v>
      </c>
      <c r="E214" s="9" t="str">
        <f aca="false">VLOOKUP($B214,DM_NHAN_VIEN!$B$4:$F$18,4,FALSE())</f>
        <v>Giám đốc</v>
      </c>
      <c r="F214" s="18" t="n">
        <v>46190</v>
      </c>
      <c r="G214" s="9" t="str">
        <f aca="false">CHOOSE(WEEKDAY(F214,2),"Thứ Hai","Thứ Ba","Thứ Tư","Thứ Năm","Thứ Sáu","Thứ Bảy","Chủ Nhật")</f>
        <v>Thứ Tư</v>
      </c>
      <c r="H214" s="9" t="str">
        <f aca="false">VLOOKUP($B214,DM_NHAN_VIEN!$B$4:$F$18,5,FALSE())</f>
        <v>Ca Hành Chính</v>
      </c>
      <c r="I214" s="9" t="str">
        <f aca="false">VLOOKUP($H214,DM_CA_LAM!$A$4:$C$6,2,FALSE())</f>
        <v>07:30</v>
      </c>
      <c r="J214" s="9" t="str">
        <f aca="false">VLOOKUP($H214,DM_CA_LAM!$A$4:$C$6,3,FALSE())</f>
        <v>17:30</v>
      </c>
      <c r="K214" s="9" t="s">
        <v>158</v>
      </c>
      <c r="L214" s="9" t="s">
        <v>174</v>
      </c>
      <c r="M214" s="9" t="n">
        <f aca="false">IF($K214="","",MAX(0,ROUND((TIMEVALUE($K214)-TIMEVALUE($I214))*1440,0)))</f>
        <v>0</v>
      </c>
      <c r="N214" s="9" t="n">
        <f aca="false">IF($L214="","",MAX(0,ROUND((TIMEVALUE($J214)-TIMEVALUE($L214))*1440,0)))</f>
        <v>0</v>
      </c>
      <c r="O214" s="9" t="n">
        <f aca="false">IF(OR($K214="",$L214=""),0,ROUND(VLOOKUP($H214,DM_CA_LAM!$A$4:$F$6,6,FALSE())-$M214/60-$N214/60,2))</f>
        <v>8</v>
      </c>
      <c r="P214" s="9" t="s">
        <v>108</v>
      </c>
      <c r="Q214" s="9" t="n">
        <v>0</v>
      </c>
      <c r="R214" s="10"/>
      <c r="S214" s="10"/>
      <c r="T214" s="9" t="str">
        <f aca="false">$B214&amp;"_"&amp;TEXT($F214,"yyyymmdd")</f>
        <v>NV002_20260617</v>
      </c>
      <c r="U214" s="9" t="str">
        <f aca="false">VLOOKUP($P214,DM_TRANG_THAI!$A$4:$B$9,2,FALSE())</f>
        <v>P</v>
      </c>
    </row>
    <row r="215" customFormat="false" ht="15.75" hidden="false" customHeight="true" outlineLevel="0" collapsed="false">
      <c r="A215" s="9" t="n">
        <v>212</v>
      </c>
      <c r="B215" s="9" t="s">
        <v>30</v>
      </c>
      <c r="C215" s="10" t="str">
        <f aca="false">VLOOKUP($B215,DM_NHAN_VIEN!$B$4:$F$18,2,FALSE())</f>
        <v>Trần Thị Nhân Sự</v>
      </c>
      <c r="D215" s="9" t="str">
        <f aca="false">VLOOKUP($B215,DM_NHAN_VIEN!$B$4:$F$18,3,FALSE())</f>
        <v>Nhân sự</v>
      </c>
      <c r="E215" s="9" t="str">
        <f aca="false">VLOOKUP($B215,DM_NHAN_VIEN!$B$4:$F$18,4,FALSE())</f>
        <v>Trưởng phòng</v>
      </c>
      <c r="F215" s="18" t="n">
        <v>46190</v>
      </c>
      <c r="G215" s="9" t="str">
        <f aca="false">CHOOSE(WEEKDAY(F215,2),"Thứ Hai","Thứ Ba","Thứ Tư","Thứ Năm","Thứ Sáu","Thứ Bảy","Chủ Nhật")</f>
        <v>Thứ Tư</v>
      </c>
      <c r="H215" s="9" t="str">
        <f aca="false">VLOOKUP($B215,DM_NHAN_VIEN!$B$4:$F$18,5,FALSE())</f>
        <v>Ca Hành Chính</v>
      </c>
      <c r="I215" s="9" t="str">
        <f aca="false">VLOOKUP($H215,DM_CA_LAM!$A$4:$C$6,2,FALSE())</f>
        <v>07:30</v>
      </c>
      <c r="J215" s="9" t="str">
        <f aca="false">VLOOKUP($H215,DM_CA_LAM!$A$4:$C$6,3,FALSE())</f>
        <v>17:30</v>
      </c>
      <c r="K215" s="9" t="s">
        <v>148</v>
      </c>
      <c r="L215" s="9" t="s">
        <v>174</v>
      </c>
      <c r="M215" s="9" t="n">
        <f aca="false">IF($K215="","",MAX(0,ROUND((TIMEVALUE($K215)-TIMEVALUE($I215))*1440,0)))</f>
        <v>0</v>
      </c>
      <c r="N215" s="9" t="n">
        <f aca="false">IF($L215="","",MAX(0,ROUND((TIMEVALUE($J215)-TIMEVALUE($L215))*1440,0)))</f>
        <v>0</v>
      </c>
      <c r="O215" s="9" t="n">
        <f aca="false">IF(OR($K215="",$L215=""),0,ROUND(VLOOKUP($H215,DM_CA_LAM!$A$4:$F$6,6,FALSE())-$M215/60-$N215/60,2))</f>
        <v>8</v>
      </c>
      <c r="P215" s="9" t="s">
        <v>108</v>
      </c>
      <c r="Q215" s="9" t="n">
        <v>0</v>
      </c>
      <c r="R215" s="10"/>
      <c r="S215" s="10"/>
      <c r="T215" s="9" t="str">
        <f aca="false">$B215&amp;"_"&amp;TEXT($F215,"yyyymmdd")</f>
        <v>NV003_20260617</v>
      </c>
      <c r="U215" s="9" t="str">
        <f aca="false">VLOOKUP($P215,DM_TRANG_THAI!$A$4:$B$9,2,FALSE())</f>
        <v>P</v>
      </c>
    </row>
    <row r="216" customFormat="false" ht="15.75" hidden="false" customHeight="true" outlineLevel="0" collapsed="false">
      <c r="A216" s="9" t="n">
        <v>213</v>
      </c>
      <c r="B216" s="9" t="s">
        <v>35</v>
      </c>
      <c r="C216" s="10" t="str">
        <f aca="false">VLOOKUP($B216,DM_NHAN_VIEN!$B$4:$F$18,2,FALSE())</f>
        <v>Lê Văn Quản Đốc</v>
      </c>
      <c r="D216" s="9" t="str">
        <f aca="false">VLOOKUP($B216,DM_NHAN_VIEN!$B$4:$F$18,3,FALSE())</f>
        <v>Xưởng sản xuất</v>
      </c>
      <c r="E216" s="9" t="str">
        <f aca="false">VLOOKUP($B216,DM_NHAN_VIEN!$B$4:$F$18,4,FALSE())</f>
        <v>Quản đốc</v>
      </c>
      <c r="F216" s="18" t="n">
        <v>46190</v>
      </c>
      <c r="G216" s="9" t="str">
        <f aca="false">CHOOSE(WEEKDAY(F216,2),"Thứ Hai","Thứ Ba","Thứ Tư","Thứ Năm","Thứ Sáu","Thứ Bảy","Chủ Nhật")</f>
        <v>Thứ Tư</v>
      </c>
      <c r="H216" s="9" t="str">
        <f aca="false">VLOOKUP($B216,DM_NHAN_VIEN!$B$4:$F$18,5,FALSE())</f>
        <v>Ca Hành Chính</v>
      </c>
      <c r="I216" s="9" t="str">
        <f aca="false">VLOOKUP($H216,DM_CA_LAM!$A$4:$C$6,2,FALSE())</f>
        <v>07:30</v>
      </c>
      <c r="J216" s="9" t="str">
        <f aca="false">VLOOKUP($H216,DM_CA_LAM!$A$4:$C$6,3,FALSE())</f>
        <v>17:30</v>
      </c>
      <c r="K216" s="9" t="s">
        <v>147</v>
      </c>
      <c r="L216" s="9" t="s">
        <v>165</v>
      </c>
      <c r="M216" s="9" t="n">
        <f aca="false">IF($K216="","",MAX(0,ROUND((TIMEVALUE($K216)-TIMEVALUE($I216))*1440,0)))</f>
        <v>0</v>
      </c>
      <c r="N216" s="9" t="n">
        <f aca="false">IF($L216="","",MAX(0,ROUND((TIMEVALUE($J216)-TIMEVALUE($L216))*1440,0)))</f>
        <v>0</v>
      </c>
      <c r="O216" s="9" t="n">
        <f aca="false">IF(OR($K216="",$L216=""),0,ROUND(VLOOKUP($H216,DM_CA_LAM!$A$4:$F$6,6,FALSE())-$M216/60-$N216/60,2))</f>
        <v>8</v>
      </c>
      <c r="P216" s="9" t="s">
        <v>108</v>
      </c>
      <c r="Q216" s="9" t="n">
        <v>0</v>
      </c>
      <c r="R216" s="10"/>
      <c r="S216" s="10"/>
      <c r="T216" s="9" t="str">
        <f aca="false">$B216&amp;"_"&amp;TEXT($F216,"yyyymmdd")</f>
        <v>NV004_20260617</v>
      </c>
      <c r="U216" s="9" t="str">
        <f aca="false">VLOOKUP($P216,DM_TRANG_THAI!$A$4:$B$9,2,FALSE())</f>
        <v>P</v>
      </c>
    </row>
    <row r="217" customFormat="false" ht="15.75" hidden="false" customHeight="true" outlineLevel="0" collapsed="false">
      <c r="A217" s="9" t="n">
        <v>214</v>
      </c>
      <c r="B217" s="9" t="s">
        <v>40</v>
      </c>
      <c r="C217" s="10" t="str">
        <f aca="false">VLOOKUP($B217,DM_NHAN_VIEN!$B$4:$F$18,2,FALSE())</f>
        <v>Phạm Công Nhân</v>
      </c>
      <c r="D217" s="9" t="str">
        <f aca="false">VLOOKUP($B217,DM_NHAN_VIEN!$B$4:$F$18,3,FALSE())</f>
        <v>Xưởng sản xuất</v>
      </c>
      <c r="E217" s="9" t="str">
        <f aca="false">VLOOKUP($B217,DM_NHAN_VIEN!$B$4:$F$18,4,FALSE())</f>
        <v>Công nhân</v>
      </c>
      <c r="F217" s="18" t="n">
        <v>46190</v>
      </c>
      <c r="G217" s="9" t="str">
        <f aca="false">CHOOSE(WEEKDAY(F217,2),"Thứ Hai","Thứ Ba","Thứ Tư","Thứ Năm","Thứ Sáu","Thứ Bảy","Chủ Nhật")</f>
        <v>Thứ Tư</v>
      </c>
      <c r="H217" s="9" t="str">
        <f aca="false">VLOOKUP($B217,DM_NHAN_VIEN!$B$4:$F$18,5,FALSE())</f>
        <v>Ca Hành Chính</v>
      </c>
      <c r="I217" s="9" t="str">
        <f aca="false">VLOOKUP($H217,DM_CA_LAM!$A$4:$C$6,2,FALSE())</f>
        <v>07:30</v>
      </c>
      <c r="J217" s="9" t="str">
        <f aca="false">VLOOKUP($H217,DM_CA_LAM!$A$4:$C$6,3,FALSE())</f>
        <v>17:30</v>
      </c>
      <c r="K217" s="9" t="s">
        <v>158</v>
      </c>
      <c r="L217" s="9" t="s">
        <v>163</v>
      </c>
      <c r="M217" s="9" t="n">
        <f aca="false">IF($K217="","",MAX(0,ROUND((TIMEVALUE($K217)-TIMEVALUE($I217))*1440,0)))</f>
        <v>0</v>
      </c>
      <c r="N217" s="9" t="n">
        <f aca="false">IF($L217="","",MAX(0,ROUND((TIMEVALUE($J217)-TIMEVALUE($L217))*1440,0)))</f>
        <v>0</v>
      </c>
      <c r="O217" s="9" t="n">
        <f aca="false">IF(OR($K217="",$L217=""),0,ROUND(VLOOKUP($H217,DM_CA_LAM!$A$4:$F$6,6,FALSE())-$M217/60-$N217/60,2))</f>
        <v>8</v>
      </c>
      <c r="P217" s="9" t="s">
        <v>108</v>
      </c>
      <c r="Q217" s="9" t="n">
        <v>0</v>
      </c>
      <c r="R217" s="10"/>
      <c r="S217" s="10"/>
      <c r="T217" s="9" t="str">
        <f aca="false">$B217&amp;"_"&amp;TEXT($F217,"yyyymmdd")</f>
        <v>NV005_20260617</v>
      </c>
      <c r="U217" s="9" t="str">
        <f aca="false">VLOOKUP($P217,DM_TRANG_THAI!$A$4:$B$9,2,FALSE())</f>
        <v>P</v>
      </c>
    </row>
    <row r="218" customFormat="false" ht="15.75" hidden="false" customHeight="true" outlineLevel="0" collapsed="false">
      <c r="A218" s="9" t="n">
        <v>215</v>
      </c>
      <c r="B218" s="9" t="s">
        <v>44</v>
      </c>
      <c r="C218" s="10" t="str">
        <f aca="false">VLOOKUP($B218,DM_NHAN_VIEN!$B$4:$F$18,2,FALSE())</f>
        <v>Đỗ Thị Hà</v>
      </c>
      <c r="D218" s="9" t="str">
        <f aca="false">VLOOKUP($B218,DM_NHAN_VIEN!$B$4:$F$18,3,FALSE())</f>
        <v>Hành chính</v>
      </c>
      <c r="E218" s="9" t="str">
        <f aca="false">VLOOKUP($B218,DM_NHAN_VIEN!$B$4:$F$18,4,FALSE())</f>
        <v>Trưởng phòng</v>
      </c>
      <c r="F218" s="18" t="n">
        <v>46190</v>
      </c>
      <c r="G218" s="9" t="str">
        <f aca="false">CHOOSE(WEEKDAY(F218,2),"Thứ Hai","Thứ Ba","Thứ Tư","Thứ Năm","Thứ Sáu","Thứ Bảy","Chủ Nhật")</f>
        <v>Thứ Tư</v>
      </c>
      <c r="H218" s="9" t="str">
        <f aca="false">VLOOKUP($B218,DM_NHAN_VIEN!$B$4:$F$18,5,FALSE())</f>
        <v>Ca Hành Chính</v>
      </c>
      <c r="I218" s="9" t="str">
        <f aca="false">VLOOKUP($H218,DM_CA_LAM!$A$4:$C$6,2,FALSE())</f>
        <v>07:30</v>
      </c>
      <c r="J218" s="9" t="str">
        <f aca="false">VLOOKUP($H218,DM_CA_LAM!$A$4:$C$6,3,FALSE())</f>
        <v>17:30</v>
      </c>
      <c r="K218" s="9" t="s">
        <v>156</v>
      </c>
      <c r="L218" s="9" t="s">
        <v>157</v>
      </c>
      <c r="M218" s="9" t="n">
        <f aca="false">IF($K218="","",MAX(0,ROUND((TIMEVALUE($K218)-TIMEVALUE($I218))*1440,0)))</f>
        <v>0</v>
      </c>
      <c r="N218" s="9" t="n">
        <f aca="false">IF($L218="","",MAX(0,ROUND((TIMEVALUE($J218)-TIMEVALUE($L218))*1440,0)))</f>
        <v>0</v>
      </c>
      <c r="O218" s="9" t="n">
        <f aca="false">IF(OR($K218="",$L218=""),0,ROUND(VLOOKUP($H218,DM_CA_LAM!$A$4:$F$6,6,FALSE())-$M218/60-$N218/60,2))</f>
        <v>8</v>
      </c>
      <c r="P218" s="9" t="s">
        <v>108</v>
      </c>
      <c r="Q218" s="9" t="n">
        <v>0</v>
      </c>
      <c r="R218" s="10"/>
      <c r="S218" s="10"/>
      <c r="T218" s="9" t="str">
        <f aca="false">$B218&amp;"_"&amp;TEXT($F218,"yyyymmdd")</f>
        <v>NV006_20260617</v>
      </c>
      <c r="U218" s="9" t="str">
        <f aca="false">VLOOKUP($P218,DM_TRANG_THAI!$A$4:$B$9,2,FALSE())</f>
        <v>P</v>
      </c>
    </row>
    <row r="219" customFormat="false" ht="15.75" hidden="false" customHeight="true" outlineLevel="0" collapsed="false">
      <c r="A219" s="9" t="n">
        <v>216</v>
      </c>
      <c r="B219" s="9" t="s">
        <v>47</v>
      </c>
      <c r="C219" s="10" t="str">
        <f aca="false">VLOOKUP($B219,DM_NHAN_VIEN!$B$4:$F$18,2,FALSE())</f>
        <v>Ngô Văn Tài</v>
      </c>
      <c r="D219" s="9" t="str">
        <f aca="false">VLOOKUP($B219,DM_NHAN_VIEN!$B$4:$F$18,3,FALSE())</f>
        <v>Hành chính</v>
      </c>
      <c r="E219" s="9" t="str">
        <f aca="false">VLOOKUP($B219,DM_NHAN_VIEN!$B$4:$F$18,4,FALSE())</f>
        <v>Phó phòng</v>
      </c>
      <c r="F219" s="18" t="n">
        <v>46190</v>
      </c>
      <c r="G219" s="9" t="str">
        <f aca="false">CHOOSE(WEEKDAY(F219,2),"Thứ Hai","Thứ Ba","Thứ Tư","Thứ Năm","Thứ Sáu","Thứ Bảy","Chủ Nhật")</f>
        <v>Thứ Tư</v>
      </c>
      <c r="H219" s="9" t="str">
        <f aca="false">VLOOKUP($B219,DM_NHAN_VIEN!$B$4:$F$18,5,FALSE())</f>
        <v>Ca Hành Chính</v>
      </c>
      <c r="I219" s="9" t="str">
        <f aca="false">VLOOKUP($H219,DM_CA_LAM!$A$4:$C$6,2,FALSE())</f>
        <v>07:30</v>
      </c>
      <c r="J219" s="9" t="str">
        <f aca="false">VLOOKUP($H219,DM_CA_LAM!$A$4:$C$6,3,FALSE())</f>
        <v>17:30</v>
      </c>
      <c r="K219" s="9" t="s">
        <v>142</v>
      </c>
      <c r="L219" s="9" t="s">
        <v>166</v>
      </c>
      <c r="M219" s="9" t="n">
        <f aca="false">IF($K219="","",MAX(0,ROUND((TIMEVALUE($K219)-TIMEVALUE($I219))*1440,0)))</f>
        <v>0</v>
      </c>
      <c r="N219" s="9" t="n">
        <f aca="false">IF($L219="","",MAX(0,ROUND((TIMEVALUE($J219)-TIMEVALUE($L219))*1440,0)))</f>
        <v>0</v>
      </c>
      <c r="O219" s="9" t="n">
        <f aca="false">IF(OR($K219="",$L219=""),0,ROUND(VLOOKUP($H219,DM_CA_LAM!$A$4:$F$6,6,FALSE())-$M219/60-$N219/60,2))</f>
        <v>8</v>
      </c>
      <c r="P219" s="9" t="s">
        <v>108</v>
      </c>
      <c r="Q219" s="9" t="n">
        <v>0</v>
      </c>
      <c r="R219" s="10"/>
      <c r="S219" s="10"/>
      <c r="T219" s="9" t="str">
        <f aca="false">$B219&amp;"_"&amp;TEXT($F219,"yyyymmdd")</f>
        <v>NV007_20260617</v>
      </c>
      <c r="U219" s="9" t="str">
        <f aca="false">VLOOKUP($P219,DM_TRANG_THAI!$A$4:$B$9,2,FALSE())</f>
        <v>P</v>
      </c>
    </row>
    <row r="220" customFormat="false" ht="15.75" hidden="false" customHeight="true" outlineLevel="0" collapsed="false">
      <c r="A220" s="9" t="n">
        <v>217</v>
      </c>
      <c r="B220" s="9" t="s">
        <v>51</v>
      </c>
      <c r="C220" s="10" t="str">
        <f aca="false">VLOOKUP($B220,DM_NHAN_VIEN!$B$4:$F$18,2,FALSE())</f>
        <v>Vũ Thị Nga</v>
      </c>
      <c r="D220" s="9" t="str">
        <f aca="false">VLOOKUP($B220,DM_NHAN_VIEN!$B$4:$F$18,3,FALSE())</f>
        <v>Hành chính</v>
      </c>
      <c r="E220" s="9" t="str">
        <f aca="false">VLOOKUP($B220,DM_NHAN_VIEN!$B$4:$F$18,4,FALSE())</f>
        <v>Chuyên viên</v>
      </c>
      <c r="F220" s="18" t="n">
        <v>46190</v>
      </c>
      <c r="G220" s="9" t="str">
        <f aca="false">CHOOSE(WEEKDAY(F220,2),"Thứ Hai","Thứ Ba","Thứ Tư","Thứ Năm","Thứ Sáu","Thứ Bảy","Chủ Nhật")</f>
        <v>Thứ Tư</v>
      </c>
      <c r="H220" s="9" t="str">
        <f aca="false">VLOOKUP($B220,DM_NHAN_VIEN!$B$4:$F$18,5,FALSE())</f>
        <v>Ca Hành Chính</v>
      </c>
      <c r="I220" s="9" t="str">
        <f aca="false">VLOOKUP($H220,DM_CA_LAM!$A$4:$C$6,2,FALSE())</f>
        <v>07:30</v>
      </c>
      <c r="J220" s="9" t="str">
        <f aca="false">VLOOKUP($H220,DM_CA_LAM!$A$4:$C$6,3,FALSE())</f>
        <v>17:30</v>
      </c>
      <c r="K220" s="9" t="s">
        <v>158</v>
      </c>
      <c r="L220" s="9" t="s">
        <v>144</v>
      </c>
      <c r="M220" s="9" t="n">
        <f aca="false">IF($K220="","",MAX(0,ROUND((TIMEVALUE($K220)-TIMEVALUE($I220))*1440,0)))</f>
        <v>0</v>
      </c>
      <c r="N220" s="9" t="n">
        <f aca="false">IF($L220="","",MAX(0,ROUND((TIMEVALUE($J220)-TIMEVALUE($L220))*1440,0)))</f>
        <v>0</v>
      </c>
      <c r="O220" s="9" t="n">
        <f aca="false">IF(OR($K220="",$L220=""),0,ROUND(VLOOKUP($H220,DM_CA_LAM!$A$4:$F$6,6,FALSE())-$M220/60-$N220/60,2))</f>
        <v>8</v>
      </c>
      <c r="P220" s="9" t="s">
        <v>108</v>
      </c>
      <c r="Q220" s="9" t="n">
        <v>0</v>
      </c>
      <c r="R220" s="10"/>
      <c r="S220" s="10"/>
      <c r="T220" s="9" t="str">
        <f aca="false">$B220&amp;"_"&amp;TEXT($F220,"yyyymmdd")</f>
        <v>NV008_20260617</v>
      </c>
      <c r="U220" s="9" t="str">
        <f aca="false">VLOOKUP($P220,DM_TRANG_THAI!$A$4:$B$9,2,FALSE())</f>
        <v>P</v>
      </c>
    </row>
    <row r="221" customFormat="false" ht="15.75" hidden="false" customHeight="true" outlineLevel="0" collapsed="false">
      <c r="A221" s="9" t="n">
        <v>218</v>
      </c>
      <c r="B221" s="9" t="s">
        <v>55</v>
      </c>
      <c r="C221" s="10" t="str">
        <f aca="false">VLOOKUP($B221,DM_NHAN_VIEN!$B$4:$F$18,2,FALSE())</f>
        <v>Đặng Thị Hồng</v>
      </c>
      <c r="D221" s="9" t="str">
        <f aca="false">VLOOKUP($B221,DM_NHAN_VIEN!$B$4:$F$18,3,FALSE())</f>
        <v>Nhân sự</v>
      </c>
      <c r="E221" s="9" t="str">
        <f aca="false">VLOOKUP($B221,DM_NHAN_VIEN!$B$4:$F$18,4,FALSE())</f>
        <v>Chuyên viên</v>
      </c>
      <c r="F221" s="18" t="n">
        <v>46190</v>
      </c>
      <c r="G221" s="9" t="str">
        <f aca="false">CHOOSE(WEEKDAY(F221,2),"Thứ Hai","Thứ Ba","Thứ Tư","Thứ Năm","Thứ Sáu","Thứ Bảy","Chủ Nhật")</f>
        <v>Thứ Tư</v>
      </c>
      <c r="H221" s="9" t="str">
        <f aca="false">VLOOKUP($B221,DM_NHAN_VIEN!$B$4:$F$18,5,FALSE())</f>
        <v>Ca Hành Chính</v>
      </c>
      <c r="I221" s="9" t="str">
        <f aca="false">VLOOKUP($H221,DM_CA_LAM!$A$4:$C$6,2,FALSE())</f>
        <v>07:30</v>
      </c>
      <c r="J221" s="9" t="str">
        <f aca="false">VLOOKUP($H221,DM_CA_LAM!$A$4:$C$6,3,FALSE())</f>
        <v>17:30</v>
      </c>
      <c r="K221" s="9" t="s">
        <v>190</v>
      </c>
      <c r="L221" s="9" t="s">
        <v>153</v>
      </c>
      <c r="M221" s="9" t="n">
        <f aca="false">IF($K221="","",MAX(0,ROUND((TIMEVALUE($K221)-TIMEVALUE($I221))*1440,0)))</f>
        <v>34</v>
      </c>
      <c r="N221" s="9" t="n">
        <f aca="false">IF($L221="","",MAX(0,ROUND((TIMEVALUE($J221)-TIMEVALUE($L221))*1440,0)))</f>
        <v>0</v>
      </c>
      <c r="O221" s="9" t="n">
        <f aca="false">IF(OR($K221="",$L221=""),0,ROUND(VLOOKUP($H221,DM_CA_LAM!$A$4:$F$6,6,FALSE())-$M221/60-$N221/60,2))</f>
        <v>7.43</v>
      </c>
      <c r="P221" s="9" t="s">
        <v>111</v>
      </c>
      <c r="Q221" s="9" t="n">
        <v>0</v>
      </c>
      <c r="R221" s="10"/>
      <c r="S221" s="10"/>
      <c r="T221" s="9" t="str">
        <f aca="false">$B221&amp;"_"&amp;TEXT($F221,"yyyymmdd")</f>
        <v>NV010_20260617</v>
      </c>
      <c r="U221" s="9" t="str">
        <f aca="false">VLOOKUP($P221,DM_TRANG_THAI!$A$4:$B$9,2,FALSE())</f>
        <v>L</v>
      </c>
    </row>
    <row r="222" customFormat="false" ht="15.75" hidden="false" customHeight="true" outlineLevel="0" collapsed="false">
      <c r="A222" s="9" t="n">
        <v>219</v>
      </c>
      <c r="B222" s="9" t="s">
        <v>58</v>
      </c>
      <c r="C222" s="10" t="str">
        <f aca="false">VLOOKUP($B222,DM_NHAN_VIEN!$B$4:$F$18,2,FALSE())</f>
        <v>Chu Văn Minh</v>
      </c>
      <c r="D222" s="9" t="str">
        <f aca="false">VLOOKUP($B222,DM_NHAN_VIEN!$B$4:$F$18,3,FALSE())</f>
        <v>Nhân sự</v>
      </c>
      <c r="E222" s="9" t="str">
        <f aca="false">VLOOKUP($B222,DM_NHAN_VIEN!$B$4:$F$18,4,FALSE())</f>
        <v>Chuyên viên</v>
      </c>
      <c r="F222" s="18" t="n">
        <v>46190</v>
      </c>
      <c r="G222" s="9" t="str">
        <f aca="false">CHOOSE(WEEKDAY(F222,2),"Thứ Hai","Thứ Ba","Thứ Tư","Thứ Năm","Thứ Sáu","Thứ Bảy","Chủ Nhật")</f>
        <v>Thứ Tư</v>
      </c>
      <c r="H222" s="9" t="str">
        <f aca="false">VLOOKUP($B222,DM_NHAN_VIEN!$B$4:$F$18,5,FALSE())</f>
        <v>Ca Hành Chính</v>
      </c>
      <c r="I222" s="9" t="str">
        <f aca="false">VLOOKUP($H222,DM_CA_LAM!$A$4:$C$6,2,FALSE())</f>
        <v>07:30</v>
      </c>
      <c r="J222" s="9" t="str">
        <f aca="false">VLOOKUP($H222,DM_CA_LAM!$A$4:$C$6,3,FALSE())</f>
        <v>17:30</v>
      </c>
      <c r="K222" s="9" t="s">
        <v>142</v>
      </c>
      <c r="L222" s="9" t="s">
        <v>159</v>
      </c>
      <c r="M222" s="9" t="n">
        <f aca="false">IF($K222="","",MAX(0,ROUND((TIMEVALUE($K222)-TIMEVALUE($I222))*1440,0)))</f>
        <v>0</v>
      </c>
      <c r="N222" s="9" t="n">
        <f aca="false">IF($L222="","",MAX(0,ROUND((TIMEVALUE($J222)-TIMEVALUE($L222))*1440,0)))</f>
        <v>0</v>
      </c>
      <c r="O222" s="9" t="n">
        <f aca="false">IF(OR($K222="",$L222=""),0,ROUND(VLOOKUP($H222,DM_CA_LAM!$A$4:$F$6,6,FALSE())-$M222/60-$N222/60,2))</f>
        <v>8</v>
      </c>
      <c r="P222" s="9" t="s">
        <v>108</v>
      </c>
      <c r="Q222" s="9" t="n">
        <v>0</v>
      </c>
      <c r="R222" s="10"/>
      <c r="S222" s="10"/>
      <c r="T222" s="9" t="str">
        <f aca="false">$B222&amp;"_"&amp;TEXT($F222,"yyyymmdd")</f>
        <v>NV011_20260617</v>
      </c>
      <c r="U222" s="9" t="str">
        <f aca="false">VLOOKUP($P222,DM_TRANG_THAI!$A$4:$B$9,2,FALSE())</f>
        <v>P</v>
      </c>
    </row>
    <row r="223" customFormat="false" ht="15.75" hidden="false" customHeight="true" outlineLevel="0" collapsed="false">
      <c r="A223" s="9" t="n">
        <v>220</v>
      </c>
      <c r="B223" s="9" t="s">
        <v>61</v>
      </c>
      <c r="C223" s="10" t="str">
        <f aca="false">VLOOKUP($B223,DM_NHAN_VIEN!$B$4:$F$18,2,FALSE())</f>
        <v>Phan Thị Khánh</v>
      </c>
      <c r="D223" s="9" t="str">
        <f aca="false">VLOOKUP($B223,DM_NHAN_VIEN!$B$4:$F$18,3,FALSE())</f>
        <v>Kế toán</v>
      </c>
      <c r="E223" s="9" t="str">
        <f aca="false">VLOOKUP($B223,DM_NHAN_VIEN!$B$4:$F$18,4,FALSE())</f>
        <v>Trưởng phòng</v>
      </c>
      <c r="F223" s="18" t="n">
        <v>46190</v>
      </c>
      <c r="G223" s="9" t="str">
        <f aca="false">CHOOSE(WEEKDAY(F223,2),"Thứ Hai","Thứ Ba","Thứ Tư","Thứ Năm","Thứ Sáu","Thứ Bảy","Chủ Nhật")</f>
        <v>Thứ Tư</v>
      </c>
      <c r="H223" s="9" t="str">
        <f aca="false">VLOOKUP($B223,DM_NHAN_VIEN!$B$4:$F$18,5,FALSE())</f>
        <v>Ca Hành Chính</v>
      </c>
      <c r="I223" s="9" t="str">
        <f aca="false">VLOOKUP($H223,DM_CA_LAM!$A$4:$C$6,2,FALSE())</f>
        <v>07:30</v>
      </c>
      <c r="J223" s="9" t="str">
        <f aca="false">VLOOKUP($H223,DM_CA_LAM!$A$4:$C$6,3,FALSE())</f>
        <v>17:30</v>
      </c>
      <c r="K223" s="9" t="s">
        <v>161</v>
      </c>
      <c r="L223" s="9" t="s">
        <v>159</v>
      </c>
      <c r="M223" s="9" t="n">
        <f aca="false">IF($K223="","",MAX(0,ROUND((TIMEVALUE($K223)-TIMEVALUE($I223))*1440,0)))</f>
        <v>0</v>
      </c>
      <c r="N223" s="9" t="n">
        <f aca="false">IF($L223="","",MAX(0,ROUND((TIMEVALUE($J223)-TIMEVALUE($L223))*1440,0)))</f>
        <v>0</v>
      </c>
      <c r="O223" s="9" t="n">
        <f aca="false">IF(OR($K223="",$L223=""),0,ROUND(VLOOKUP($H223,DM_CA_LAM!$A$4:$F$6,6,FALSE())-$M223/60-$N223/60,2))</f>
        <v>8</v>
      </c>
      <c r="P223" s="9" t="s">
        <v>108</v>
      </c>
      <c r="Q223" s="9" t="n">
        <v>2.5</v>
      </c>
      <c r="R223" s="10" t="s">
        <v>151</v>
      </c>
      <c r="S223" s="10"/>
      <c r="T223" s="9" t="str">
        <f aca="false">$B223&amp;"_"&amp;TEXT($F223,"yyyymmdd")</f>
        <v>NV014_20260617</v>
      </c>
      <c r="U223" s="9" t="str">
        <f aca="false">VLOOKUP($P223,DM_TRANG_THAI!$A$4:$B$9,2,FALSE())</f>
        <v>P</v>
      </c>
    </row>
    <row r="224" customFormat="false" ht="15.75" hidden="false" customHeight="true" outlineLevel="0" collapsed="false">
      <c r="A224" s="9" t="n">
        <v>221</v>
      </c>
      <c r="B224" s="9" t="s">
        <v>65</v>
      </c>
      <c r="C224" s="10" t="str">
        <f aca="false">VLOOKUP($B224,DM_NHAN_VIEN!$B$4:$F$18,2,FALSE())</f>
        <v>Trịnh Văn Hùng</v>
      </c>
      <c r="D224" s="9" t="str">
        <f aca="false">VLOOKUP($B224,DM_NHAN_VIEN!$B$4:$F$18,3,FALSE())</f>
        <v>Kế toán</v>
      </c>
      <c r="E224" s="9" t="str">
        <f aca="false">VLOOKUP($B224,DM_NHAN_VIEN!$B$4:$F$18,4,FALSE())</f>
        <v>Phó phòng</v>
      </c>
      <c r="F224" s="18" t="n">
        <v>46190</v>
      </c>
      <c r="G224" s="9" t="str">
        <f aca="false">CHOOSE(WEEKDAY(F224,2),"Thứ Hai","Thứ Ba","Thứ Tư","Thứ Năm","Thứ Sáu","Thứ Bảy","Chủ Nhật")</f>
        <v>Thứ Tư</v>
      </c>
      <c r="H224" s="9" t="str">
        <f aca="false">VLOOKUP($B224,DM_NHAN_VIEN!$B$4:$F$18,5,FALSE())</f>
        <v>Ca Hành Chính</v>
      </c>
      <c r="I224" s="9" t="str">
        <f aca="false">VLOOKUP($H224,DM_CA_LAM!$A$4:$C$6,2,FALSE())</f>
        <v>07:30</v>
      </c>
      <c r="J224" s="9" t="str">
        <f aca="false">VLOOKUP($H224,DM_CA_LAM!$A$4:$C$6,3,FALSE())</f>
        <v>17:30</v>
      </c>
      <c r="K224" s="9"/>
      <c r="L224" s="9"/>
      <c r="M224" s="9" t="str">
        <f aca="false">IF($K224="","",MAX(0,ROUND((TIMEVALUE($K224)-TIMEVALUE($I224))*1440,0)))</f>
        <v/>
      </c>
      <c r="N224" s="9" t="str">
        <f aca="false">IF($L224="","",MAX(0,ROUND((TIMEVALUE($J224)-TIMEVALUE($L224))*1440,0)))</f>
        <v/>
      </c>
      <c r="O224" s="9" t="n">
        <f aca="false">IF(OR($K224="",$L224=""),0,ROUND(VLOOKUP($H224,DM_CA_LAM!$A$4:$F$6,6,FALSE())-$M224/60-$N224/60,2))</f>
        <v>0</v>
      </c>
      <c r="P224" s="9" t="s">
        <v>120</v>
      </c>
      <c r="Q224" s="9" t="n">
        <v>0</v>
      </c>
      <c r="R224" s="10"/>
      <c r="S224" s="10"/>
      <c r="T224" s="9" t="str">
        <f aca="false">$B224&amp;"_"&amp;TEXT($F224,"yyyymmdd")</f>
        <v>NV015_20260617</v>
      </c>
      <c r="U224" s="9" t="str">
        <f aca="false">VLOOKUP($P224,DM_TRANG_THAI!$A$4:$B$9,2,FALSE())</f>
        <v>KL</v>
      </c>
    </row>
    <row r="225" customFormat="false" ht="15.75" hidden="false" customHeight="true" outlineLevel="0" collapsed="false">
      <c r="A225" s="9" t="n">
        <v>222</v>
      </c>
      <c r="B225" s="9" t="s">
        <v>68</v>
      </c>
      <c r="C225" s="10" t="str">
        <f aca="false">VLOOKUP($B225,DM_NHAN_VIEN!$B$4:$F$18,2,FALSE())</f>
        <v>Hoàng Văn Lộc</v>
      </c>
      <c r="D225" s="9" t="str">
        <f aca="false">VLOOKUP($B225,DM_NHAN_VIEN!$B$4:$F$18,3,FALSE())</f>
        <v>Kinh doanh</v>
      </c>
      <c r="E225" s="9" t="str">
        <f aca="false">VLOOKUP($B225,DM_NHAN_VIEN!$B$4:$F$18,4,FALSE())</f>
        <v>Trưởng phòng</v>
      </c>
      <c r="F225" s="18" t="n">
        <v>46190</v>
      </c>
      <c r="G225" s="9" t="str">
        <f aca="false">CHOOSE(WEEKDAY(F225,2),"Thứ Hai","Thứ Ba","Thứ Tư","Thứ Năm","Thứ Sáu","Thứ Bảy","Chủ Nhật")</f>
        <v>Thứ Tư</v>
      </c>
      <c r="H225" s="9" t="str">
        <f aca="false">VLOOKUP($B225,DM_NHAN_VIEN!$B$4:$F$18,5,FALSE())</f>
        <v>Ca Hành Chính</v>
      </c>
      <c r="I225" s="9" t="str">
        <f aca="false">VLOOKUP($H225,DM_CA_LAM!$A$4:$C$6,2,FALSE())</f>
        <v>07:30</v>
      </c>
      <c r="J225" s="9" t="str">
        <f aca="false">VLOOKUP($H225,DM_CA_LAM!$A$4:$C$6,3,FALSE())</f>
        <v>17:30</v>
      </c>
      <c r="K225" s="9" t="s">
        <v>158</v>
      </c>
      <c r="L225" s="9" t="s">
        <v>153</v>
      </c>
      <c r="M225" s="9" t="n">
        <f aca="false">IF($K225="","",MAX(0,ROUND((TIMEVALUE($K225)-TIMEVALUE($I225))*1440,0)))</f>
        <v>0</v>
      </c>
      <c r="N225" s="9" t="n">
        <f aca="false">IF($L225="","",MAX(0,ROUND((TIMEVALUE($J225)-TIMEVALUE($L225))*1440,0)))</f>
        <v>0</v>
      </c>
      <c r="O225" s="9" t="n">
        <f aca="false">IF(OR($K225="",$L225=""),0,ROUND(VLOOKUP($H225,DM_CA_LAM!$A$4:$F$6,6,FALSE())-$M225/60-$N225/60,2))</f>
        <v>8</v>
      </c>
      <c r="P225" s="9" t="s">
        <v>108</v>
      </c>
      <c r="Q225" s="9" t="n">
        <v>0</v>
      </c>
      <c r="R225" s="10"/>
      <c r="S225" s="10"/>
      <c r="T225" s="9" t="str">
        <f aca="false">$B225&amp;"_"&amp;TEXT($F225,"yyyymmdd")</f>
        <v>NV019_20260617</v>
      </c>
      <c r="U225" s="9" t="str">
        <f aca="false">VLOOKUP($P225,DM_TRANG_THAI!$A$4:$B$9,2,FALSE())</f>
        <v>P</v>
      </c>
    </row>
    <row r="226" customFormat="false" ht="15.75" hidden="false" customHeight="true" outlineLevel="0" collapsed="false">
      <c r="A226" s="9" t="n">
        <v>223</v>
      </c>
      <c r="B226" s="9" t="s">
        <v>72</v>
      </c>
      <c r="C226" s="10" t="str">
        <f aca="false">VLOOKUP($B226,DM_NHAN_VIEN!$B$4:$F$18,2,FALSE())</f>
        <v>Nguyễn Văn Phú</v>
      </c>
      <c r="D226" s="9" t="str">
        <f aca="false">VLOOKUP($B226,DM_NHAN_VIEN!$B$4:$F$18,3,FALSE())</f>
        <v>Kinh doanh</v>
      </c>
      <c r="E226" s="9" t="str">
        <f aca="false">VLOOKUP($B226,DM_NHAN_VIEN!$B$4:$F$18,4,FALSE())</f>
        <v>Nhân viên</v>
      </c>
      <c r="F226" s="18" t="n">
        <v>46190</v>
      </c>
      <c r="G226" s="9" t="str">
        <f aca="false">CHOOSE(WEEKDAY(F226,2),"Thứ Hai","Thứ Ba","Thứ Tư","Thứ Năm","Thứ Sáu","Thứ Bảy","Chủ Nhật")</f>
        <v>Thứ Tư</v>
      </c>
      <c r="H226" s="9" t="str">
        <f aca="false">VLOOKUP($B226,DM_NHAN_VIEN!$B$4:$F$18,5,FALSE())</f>
        <v>Ca Hành Chính</v>
      </c>
      <c r="I226" s="9" t="str">
        <f aca="false">VLOOKUP($H226,DM_CA_LAM!$A$4:$C$6,2,FALSE())</f>
        <v>07:30</v>
      </c>
      <c r="J226" s="9" t="str">
        <f aca="false">VLOOKUP($H226,DM_CA_LAM!$A$4:$C$6,3,FALSE())</f>
        <v>17:30</v>
      </c>
      <c r="K226" s="9" t="s">
        <v>158</v>
      </c>
      <c r="L226" s="9" t="s">
        <v>162</v>
      </c>
      <c r="M226" s="9" t="n">
        <f aca="false">IF($K226="","",MAX(0,ROUND((TIMEVALUE($K226)-TIMEVALUE($I226))*1440,0)))</f>
        <v>0</v>
      </c>
      <c r="N226" s="9" t="n">
        <f aca="false">IF($L226="","",MAX(0,ROUND((TIMEVALUE($J226)-TIMEVALUE($L226))*1440,0)))</f>
        <v>0</v>
      </c>
      <c r="O226" s="9" t="n">
        <f aca="false">IF(OR($K226="",$L226=""),0,ROUND(VLOOKUP($H226,DM_CA_LAM!$A$4:$F$6,6,FALSE())-$M226/60-$N226/60,2))</f>
        <v>8</v>
      </c>
      <c r="P226" s="9" t="s">
        <v>108</v>
      </c>
      <c r="Q226" s="9" t="n">
        <v>0</v>
      </c>
      <c r="R226" s="10"/>
      <c r="S226" s="10"/>
      <c r="T226" s="9" t="str">
        <f aca="false">$B226&amp;"_"&amp;TEXT($F226,"yyyymmdd")</f>
        <v>NV021_20260617</v>
      </c>
      <c r="U226" s="9" t="str">
        <f aca="false">VLOOKUP($P226,DM_TRANG_THAI!$A$4:$B$9,2,FALSE())</f>
        <v>P</v>
      </c>
    </row>
    <row r="227" customFormat="false" ht="15.75" hidden="false" customHeight="true" outlineLevel="0" collapsed="false">
      <c r="A227" s="9" t="n">
        <v>224</v>
      </c>
      <c r="B227" s="9" t="s">
        <v>76</v>
      </c>
      <c r="C227" s="10" t="str">
        <f aca="false">VLOOKUP($B227,DM_NHAN_VIEN!$B$4:$F$18,2,FALSE())</f>
        <v>Lý Văn Dũng</v>
      </c>
      <c r="D227" s="9" t="str">
        <f aca="false">VLOOKUP($B227,DM_NHAN_VIEN!$B$4:$F$18,3,FALSE())</f>
        <v>Xưởng sản xuất</v>
      </c>
      <c r="E227" s="9" t="str">
        <f aca="false">VLOOKUP($B227,DM_NHAN_VIEN!$B$4:$F$18,4,FALSE())</f>
        <v>Tổ trưởng</v>
      </c>
      <c r="F227" s="18" t="n">
        <v>46190</v>
      </c>
      <c r="G227" s="9" t="str">
        <f aca="false">CHOOSE(WEEKDAY(F227,2),"Thứ Hai","Thứ Ba","Thứ Tư","Thứ Năm","Thứ Sáu","Thứ Bảy","Chủ Nhật")</f>
        <v>Thứ Tư</v>
      </c>
      <c r="H227" s="9" t="str">
        <f aca="false">VLOOKUP($B227,DM_NHAN_VIEN!$B$4:$F$18,5,FALSE())</f>
        <v>Ca Hành Chính</v>
      </c>
      <c r="I227" s="9" t="str">
        <f aca="false">VLOOKUP($H227,DM_CA_LAM!$A$4:$C$6,2,FALSE())</f>
        <v>07:30</v>
      </c>
      <c r="J227" s="9" t="str">
        <f aca="false">VLOOKUP($H227,DM_CA_LAM!$A$4:$C$6,3,FALSE())</f>
        <v>17:30</v>
      </c>
      <c r="K227" s="9" t="s">
        <v>191</v>
      </c>
      <c r="L227" s="9" t="s">
        <v>146</v>
      </c>
      <c r="M227" s="9" t="n">
        <f aca="false">IF($K227="","",MAX(0,ROUND((TIMEVALUE($K227)-TIMEVALUE($I227))*1440,0)))</f>
        <v>28</v>
      </c>
      <c r="N227" s="9" t="n">
        <f aca="false">IF($L227="","",MAX(0,ROUND((TIMEVALUE($J227)-TIMEVALUE($L227))*1440,0)))</f>
        <v>0</v>
      </c>
      <c r="O227" s="9" t="n">
        <f aca="false">IF(OR($K227="",$L227=""),0,ROUND(VLOOKUP($H227,DM_CA_LAM!$A$4:$F$6,6,FALSE())-$M227/60-$N227/60,2))</f>
        <v>7.53</v>
      </c>
      <c r="P227" s="9" t="s">
        <v>111</v>
      </c>
      <c r="Q227" s="9" t="n">
        <v>0</v>
      </c>
      <c r="R227" s="10"/>
      <c r="S227" s="10" t="s">
        <v>154</v>
      </c>
      <c r="T227" s="9" t="str">
        <f aca="false">$B227&amp;"_"&amp;TEXT($F227,"yyyymmdd")</f>
        <v>NV029_20260617</v>
      </c>
      <c r="U227" s="9" t="str">
        <f aca="false">VLOOKUP($P227,DM_TRANG_THAI!$A$4:$B$9,2,FALSE())</f>
        <v>L</v>
      </c>
    </row>
    <row r="228" customFormat="false" ht="15.75" hidden="false" customHeight="true" outlineLevel="0" collapsed="false">
      <c r="A228" s="9" t="n">
        <v>225</v>
      </c>
      <c r="B228" s="9" t="s">
        <v>80</v>
      </c>
      <c r="C228" s="10" t="str">
        <f aca="false">VLOOKUP($B228,DM_NHAN_VIEN!$B$4:$F$18,2,FALSE())</f>
        <v>Tống Văn Thắng</v>
      </c>
      <c r="D228" s="9" t="str">
        <f aca="false">VLOOKUP($B228,DM_NHAN_VIEN!$B$4:$F$18,3,FALSE())</f>
        <v>Xưởng sản xuất</v>
      </c>
      <c r="E228" s="9" t="str">
        <f aca="false">VLOOKUP($B228,DM_NHAN_VIEN!$B$4:$F$18,4,FALSE())</f>
        <v>Tổ trưởng</v>
      </c>
      <c r="F228" s="18" t="n">
        <v>46190</v>
      </c>
      <c r="G228" s="9" t="str">
        <f aca="false">CHOOSE(WEEKDAY(F228,2),"Thứ Hai","Thứ Ba","Thứ Tư","Thứ Năm","Thứ Sáu","Thứ Bảy","Chủ Nhật")</f>
        <v>Thứ Tư</v>
      </c>
      <c r="H228" s="9" t="str">
        <f aca="false">VLOOKUP($B228,DM_NHAN_VIEN!$B$4:$F$18,5,FALSE())</f>
        <v>Ca Hành Chính</v>
      </c>
      <c r="I228" s="9" t="str">
        <f aca="false">VLOOKUP($H228,DM_CA_LAM!$A$4:$C$6,2,FALSE())</f>
        <v>07:30</v>
      </c>
      <c r="J228" s="9" t="str">
        <f aca="false">VLOOKUP($H228,DM_CA_LAM!$A$4:$C$6,3,FALSE())</f>
        <v>17:30</v>
      </c>
      <c r="K228" s="9" t="s">
        <v>148</v>
      </c>
      <c r="L228" s="9" t="s">
        <v>163</v>
      </c>
      <c r="M228" s="9" t="n">
        <f aca="false">IF($K228="","",MAX(0,ROUND((TIMEVALUE($K228)-TIMEVALUE($I228))*1440,0)))</f>
        <v>0</v>
      </c>
      <c r="N228" s="9" t="n">
        <f aca="false">IF($L228="","",MAX(0,ROUND((TIMEVALUE($J228)-TIMEVALUE($L228))*1440,0)))</f>
        <v>0</v>
      </c>
      <c r="O228" s="9" t="n">
        <f aca="false">IF(OR($K228="",$L228=""),0,ROUND(VLOOKUP($H228,DM_CA_LAM!$A$4:$F$6,6,FALSE())-$M228/60-$N228/60,2))</f>
        <v>8</v>
      </c>
      <c r="P228" s="9" t="s">
        <v>108</v>
      </c>
      <c r="Q228" s="9" t="n">
        <v>2</v>
      </c>
      <c r="R228" s="10" t="s">
        <v>177</v>
      </c>
      <c r="S228" s="10"/>
      <c r="T228" s="9" t="str">
        <f aca="false">$B228&amp;"_"&amp;TEXT($F228,"yyyymmdd")</f>
        <v>NV030_20260617</v>
      </c>
      <c r="U228" s="9" t="str">
        <f aca="false">VLOOKUP($P228,DM_TRANG_THAI!$A$4:$B$9,2,FALSE())</f>
        <v>P</v>
      </c>
    </row>
    <row r="229" customFormat="false" ht="15.75" hidden="false" customHeight="true" outlineLevel="0" collapsed="false">
      <c r="A229" s="9" t="n">
        <v>226</v>
      </c>
      <c r="B229" s="9" t="s">
        <v>24</v>
      </c>
      <c r="C229" s="10" t="str">
        <f aca="false">VLOOKUP($B229,DM_NHAN_VIEN!$B$4:$F$18,2,FALSE())</f>
        <v>Nguyễn Văn Giám Đốc</v>
      </c>
      <c r="D229" s="9" t="str">
        <f aca="false">VLOOKUP($B229,DM_NHAN_VIEN!$B$4:$F$18,3,FALSE())</f>
        <v>Hành chính</v>
      </c>
      <c r="E229" s="9" t="str">
        <f aca="false">VLOOKUP($B229,DM_NHAN_VIEN!$B$4:$F$18,4,FALSE())</f>
        <v>Giám đốc</v>
      </c>
      <c r="F229" s="18" t="n">
        <v>46191</v>
      </c>
      <c r="G229" s="9" t="str">
        <f aca="false">CHOOSE(WEEKDAY(F229,2),"Thứ Hai","Thứ Ba","Thứ Tư","Thứ Năm","Thứ Sáu","Thứ Bảy","Chủ Nhật")</f>
        <v>Thứ Năm</v>
      </c>
      <c r="H229" s="9" t="str">
        <f aca="false">VLOOKUP($B229,DM_NHAN_VIEN!$B$4:$F$18,5,FALSE())</f>
        <v>Ca Hành Chính</v>
      </c>
      <c r="I229" s="9" t="str">
        <f aca="false">VLOOKUP($H229,DM_CA_LAM!$A$4:$C$6,2,FALSE())</f>
        <v>07:30</v>
      </c>
      <c r="J229" s="9" t="str">
        <f aca="false">VLOOKUP($H229,DM_CA_LAM!$A$4:$C$6,3,FALSE())</f>
        <v>17:30</v>
      </c>
      <c r="K229" s="9" t="s">
        <v>161</v>
      </c>
      <c r="L229" s="9" t="s">
        <v>162</v>
      </c>
      <c r="M229" s="9" t="n">
        <f aca="false">IF($K229="","",MAX(0,ROUND((TIMEVALUE($K229)-TIMEVALUE($I229))*1440,0)))</f>
        <v>0</v>
      </c>
      <c r="N229" s="9" t="n">
        <f aca="false">IF($L229="","",MAX(0,ROUND((TIMEVALUE($J229)-TIMEVALUE($L229))*1440,0)))</f>
        <v>0</v>
      </c>
      <c r="O229" s="9" t="n">
        <f aca="false">IF(OR($K229="",$L229=""),0,ROUND(VLOOKUP($H229,DM_CA_LAM!$A$4:$F$6,6,FALSE())-$M229/60-$N229/60,2))</f>
        <v>8</v>
      </c>
      <c r="P229" s="9" t="s">
        <v>108</v>
      </c>
      <c r="Q229" s="9" t="n">
        <v>0</v>
      </c>
      <c r="R229" s="10"/>
      <c r="S229" s="10"/>
      <c r="T229" s="9" t="str">
        <f aca="false">$B229&amp;"_"&amp;TEXT($F229,"yyyymmdd")</f>
        <v>NV002_20260618</v>
      </c>
      <c r="U229" s="9" t="str">
        <f aca="false">VLOOKUP($P229,DM_TRANG_THAI!$A$4:$B$9,2,FALSE())</f>
        <v>P</v>
      </c>
    </row>
    <row r="230" customFormat="false" ht="15.75" hidden="false" customHeight="true" outlineLevel="0" collapsed="false">
      <c r="A230" s="9" t="n">
        <v>227</v>
      </c>
      <c r="B230" s="9" t="s">
        <v>30</v>
      </c>
      <c r="C230" s="10" t="str">
        <f aca="false">VLOOKUP($B230,DM_NHAN_VIEN!$B$4:$F$18,2,FALSE())</f>
        <v>Trần Thị Nhân Sự</v>
      </c>
      <c r="D230" s="9" t="str">
        <f aca="false">VLOOKUP($B230,DM_NHAN_VIEN!$B$4:$F$18,3,FALSE())</f>
        <v>Nhân sự</v>
      </c>
      <c r="E230" s="9" t="str">
        <f aca="false">VLOOKUP($B230,DM_NHAN_VIEN!$B$4:$F$18,4,FALSE())</f>
        <v>Trưởng phòng</v>
      </c>
      <c r="F230" s="18" t="n">
        <v>46191</v>
      </c>
      <c r="G230" s="9" t="str">
        <f aca="false">CHOOSE(WEEKDAY(F230,2),"Thứ Hai","Thứ Ba","Thứ Tư","Thứ Năm","Thứ Sáu","Thứ Bảy","Chủ Nhật")</f>
        <v>Thứ Năm</v>
      </c>
      <c r="H230" s="9" t="str">
        <f aca="false">VLOOKUP($B230,DM_NHAN_VIEN!$B$4:$F$18,5,FALSE())</f>
        <v>Ca Hành Chính</v>
      </c>
      <c r="I230" s="9" t="str">
        <f aca="false">VLOOKUP($H230,DM_CA_LAM!$A$4:$C$6,2,FALSE())</f>
        <v>07:30</v>
      </c>
      <c r="J230" s="9" t="str">
        <f aca="false">VLOOKUP($H230,DM_CA_LAM!$A$4:$C$6,3,FALSE())</f>
        <v>17:30</v>
      </c>
      <c r="K230" s="9" t="s">
        <v>188</v>
      </c>
      <c r="L230" s="9" t="s">
        <v>144</v>
      </c>
      <c r="M230" s="9" t="n">
        <f aca="false">IF($K230="","",MAX(0,ROUND((TIMEVALUE($K230)-TIMEVALUE($I230))*1440,0)))</f>
        <v>18</v>
      </c>
      <c r="N230" s="9" t="n">
        <f aca="false">IF($L230="","",MAX(0,ROUND((TIMEVALUE($J230)-TIMEVALUE($L230))*1440,0)))</f>
        <v>0</v>
      </c>
      <c r="O230" s="9" t="n">
        <f aca="false">IF(OR($K230="",$L230=""),0,ROUND(VLOOKUP($H230,DM_CA_LAM!$A$4:$F$6,6,FALSE())-$M230/60-$N230/60,2))</f>
        <v>7.7</v>
      </c>
      <c r="P230" s="9" t="s">
        <v>111</v>
      </c>
      <c r="Q230" s="9" t="n">
        <v>0</v>
      </c>
      <c r="R230" s="10"/>
      <c r="S230" s="10" t="s">
        <v>182</v>
      </c>
      <c r="T230" s="9" t="str">
        <f aca="false">$B230&amp;"_"&amp;TEXT($F230,"yyyymmdd")</f>
        <v>NV003_20260618</v>
      </c>
      <c r="U230" s="9" t="str">
        <f aca="false">VLOOKUP($P230,DM_TRANG_THAI!$A$4:$B$9,2,FALSE())</f>
        <v>L</v>
      </c>
    </row>
    <row r="231" customFormat="false" ht="15.75" hidden="false" customHeight="true" outlineLevel="0" collapsed="false">
      <c r="A231" s="9" t="n">
        <v>228</v>
      </c>
      <c r="B231" s="9" t="s">
        <v>35</v>
      </c>
      <c r="C231" s="10" t="str">
        <f aca="false">VLOOKUP($B231,DM_NHAN_VIEN!$B$4:$F$18,2,FALSE())</f>
        <v>Lê Văn Quản Đốc</v>
      </c>
      <c r="D231" s="9" t="str">
        <f aca="false">VLOOKUP($B231,DM_NHAN_VIEN!$B$4:$F$18,3,FALSE())</f>
        <v>Xưởng sản xuất</v>
      </c>
      <c r="E231" s="9" t="str">
        <f aca="false">VLOOKUP($B231,DM_NHAN_VIEN!$B$4:$F$18,4,FALSE())</f>
        <v>Quản đốc</v>
      </c>
      <c r="F231" s="18" t="n">
        <v>46191</v>
      </c>
      <c r="G231" s="9" t="str">
        <f aca="false">CHOOSE(WEEKDAY(F231,2),"Thứ Hai","Thứ Ba","Thứ Tư","Thứ Năm","Thứ Sáu","Thứ Bảy","Chủ Nhật")</f>
        <v>Thứ Năm</v>
      </c>
      <c r="H231" s="9" t="str">
        <f aca="false">VLOOKUP($B231,DM_NHAN_VIEN!$B$4:$F$18,5,FALSE())</f>
        <v>Ca Hành Chính</v>
      </c>
      <c r="I231" s="9" t="str">
        <f aca="false">VLOOKUP($H231,DM_CA_LAM!$A$4:$C$6,2,FALSE())</f>
        <v>07:30</v>
      </c>
      <c r="J231" s="9" t="str">
        <f aca="false">VLOOKUP($H231,DM_CA_LAM!$A$4:$C$6,3,FALSE())</f>
        <v>17:30</v>
      </c>
      <c r="K231" s="9" t="s">
        <v>186</v>
      </c>
      <c r="L231" s="9" t="s">
        <v>93</v>
      </c>
      <c r="M231" s="9" t="n">
        <f aca="false">IF($K231="","",MAX(0,ROUND((TIMEVALUE($K231)-TIMEVALUE($I231))*1440,0)))</f>
        <v>10</v>
      </c>
      <c r="N231" s="9" t="n">
        <f aca="false">IF($L231="","",MAX(0,ROUND((TIMEVALUE($J231)-TIMEVALUE($L231))*1440,0)))</f>
        <v>0</v>
      </c>
      <c r="O231" s="9" t="n">
        <f aca="false">IF(OR($K231="",$L231=""),0,ROUND(VLOOKUP($H231,DM_CA_LAM!$A$4:$F$6,6,FALSE())-$M231/60-$N231/60,2))</f>
        <v>7.83</v>
      </c>
      <c r="P231" s="9" t="s">
        <v>111</v>
      </c>
      <c r="Q231" s="9" t="n">
        <v>0</v>
      </c>
      <c r="R231" s="10"/>
      <c r="S231" s="10" t="s">
        <v>154</v>
      </c>
      <c r="T231" s="9" t="str">
        <f aca="false">$B231&amp;"_"&amp;TEXT($F231,"yyyymmdd")</f>
        <v>NV004_20260618</v>
      </c>
      <c r="U231" s="9" t="str">
        <f aca="false">VLOOKUP($P231,DM_TRANG_THAI!$A$4:$B$9,2,FALSE())</f>
        <v>L</v>
      </c>
    </row>
    <row r="232" customFormat="false" ht="15.75" hidden="false" customHeight="true" outlineLevel="0" collapsed="false">
      <c r="A232" s="9" t="n">
        <v>229</v>
      </c>
      <c r="B232" s="9" t="s">
        <v>40</v>
      </c>
      <c r="C232" s="10" t="str">
        <f aca="false">VLOOKUP($B232,DM_NHAN_VIEN!$B$4:$F$18,2,FALSE())</f>
        <v>Phạm Công Nhân</v>
      </c>
      <c r="D232" s="9" t="str">
        <f aca="false">VLOOKUP($B232,DM_NHAN_VIEN!$B$4:$F$18,3,FALSE())</f>
        <v>Xưởng sản xuất</v>
      </c>
      <c r="E232" s="9" t="str">
        <f aca="false">VLOOKUP($B232,DM_NHAN_VIEN!$B$4:$F$18,4,FALSE())</f>
        <v>Công nhân</v>
      </c>
      <c r="F232" s="18" t="n">
        <v>46191</v>
      </c>
      <c r="G232" s="9" t="str">
        <f aca="false">CHOOSE(WEEKDAY(F232,2),"Thứ Hai","Thứ Ba","Thứ Tư","Thứ Năm","Thứ Sáu","Thứ Bảy","Chủ Nhật")</f>
        <v>Thứ Năm</v>
      </c>
      <c r="H232" s="9" t="str">
        <f aca="false">VLOOKUP($B232,DM_NHAN_VIEN!$B$4:$F$18,5,FALSE())</f>
        <v>Ca Hành Chính</v>
      </c>
      <c r="I232" s="9" t="str">
        <f aca="false">VLOOKUP($H232,DM_CA_LAM!$A$4:$C$6,2,FALSE())</f>
        <v>07:30</v>
      </c>
      <c r="J232" s="9" t="str">
        <f aca="false">VLOOKUP($H232,DM_CA_LAM!$A$4:$C$6,3,FALSE())</f>
        <v>17:30</v>
      </c>
      <c r="K232" s="9" t="s">
        <v>192</v>
      </c>
      <c r="L232" s="9" t="s">
        <v>144</v>
      </c>
      <c r="M232" s="9" t="n">
        <f aca="false">IF($K232="","",MAX(0,ROUND((TIMEVALUE($K232)-TIMEVALUE($I232))*1440,0)))</f>
        <v>30</v>
      </c>
      <c r="N232" s="9" t="n">
        <f aca="false">IF($L232="","",MAX(0,ROUND((TIMEVALUE($J232)-TIMEVALUE($L232))*1440,0)))</f>
        <v>0</v>
      </c>
      <c r="O232" s="9" t="n">
        <f aca="false">IF(OR($K232="",$L232=""),0,ROUND(VLOOKUP($H232,DM_CA_LAM!$A$4:$F$6,6,FALSE())-$M232/60-$N232/60,2))</f>
        <v>7.5</v>
      </c>
      <c r="P232" s="9" t="s">
        <v>111</v>
      </c>
      <c r="Q232" s="9" t="n">
        <v>0</v>
      </c>
      <c r="R232" s="10"/>
      <c r="S232" s="10" t="s">
        <v>172</v>
      </c>
      <c r="T232" s="9" t="str">
        <f aca="false">$B232&amp;"_"&amp;TEXT($F232,"yyyymmdd")</f>
        <v>NV005_20260618</v>
      </c>
      <c r="U232" s="9" t="str">
        <f aca="false">VLOOKUP($P232,DM_TRANG_THAI!$A$4:$B$9,2,FALSE())</f>
        <v>L</v>
      </c>
    </row>
    <row r="233" customFormat="false" ht="15.75" hidden="false" customHeight="true" outlineLevel="0" collapsed="false">
      <c r="A233" s="9" t="n">
        <v>230</v>
      </c>
      <c r="B233" s="9" t="s">
        <v>44</v>
      </c>
      <c r="C233" s="10" t="str">
        <f aca="false">VLOOKUP($B233,DM_NHAN_VIEN!$B$4:$F$18,2,FALSE())</f>
        <v>Đỗ Thị Hà</v>
      </c>
      <c r="D233" s="9" t="str">
        <f aca="false">VLOOKUP($B233,DM_NHAN_VIEN!$B$4:$F$18,3,FALSE())</f>
        <v>Hành chính</v>
      </c>
      <c r="E233" s="9" t="str">
        <f aca="false">VLOOKUP($B233,DM_NHAN_VIEN!$B$4:$F$18,4,FALSE())</f>
        <v>Trưởng phòng</v>
      </c>
      <c r="F233" s="18" t="n">
        <v>46191</v>
      </c>
      <c r="G233" s="9" t="str">
        <f aca="false">CHOOSE(WEEKDAY(F233,2),"Thứ Hai","Thứ Ba","Thứ Tư","Thứ Năm","Thứ Sáu","Thứ Bảy","Chủ Nhật")</f>
        <v>Thứ Năm</v>
      </c>
      <c r="H233" s="9" t="str">
        <f aca="false">VLOOKUP($B233,DM_NHAN_VIEN!$B$4:$F$18,5,FALSE())</f>
        <v>Ca Hành Chính</v>
      </c>
      <c r="I233" s="9" t="str">
        <f aca="false">VLOOKUP($H233,DM_CA_LAM!$A$4:$C$6,2,FALSE())</f>
        <v>07:30</v>
      </c>
      <c r="J233" s="9" t="str">
        <f aca="false">VLOOKUP($H233,DM_CA_LAM!$A$4:$C$6,3,FALSE())</f>
        <v>17:30</v>
      </c>
      <c r="K233" s="9" t="s">
        <v>92</v>
      </c>
      <c r="L233" s="9" t="s">
        <v>93</v>
      </c>
      <c r="M233" s="9" t="n">
        <f aca="false">IF($K233="","",MAX(0,ROUND((TIMEVALUE($K233)-TIMEVALUE($I233))*1440,0)))</f>
        <v>0</v>
      </c>
      <c r="N233" s="9" t="n">
        <f aca="false">IF($L233="","",MAX(0,ROUND((TIMEVALUE($J233)-TIMEVALUE($L233))*1440,0)))</f>
        <v>0</v>
      </c>
      <c r="O233" s="9" t="n">
        <f aca="false">IF(OR($K233="",$L233=""),0,ROUND(VLOOKUP($H233,DM_CA_LAM!$A$4:$F$6,6,FALSE())-$M233/60-$N233/60,2))</f>
        <v>8</v>
      </c>
      <c r="P233" s="9" t="s">
        <v>108</v>
      </c>
      <c r="Q233" s="9" t="n">
        <v>0</v>
      </c>
      <c r="R233" s="10"/>
      <c r="S233" s="10"/>
      <c r="T233" s="9" t="str">
        <f aca="false">$B233&amp;"_"&amp;TEXT($F233,"yyyymmdd")</f>
        <v>NV006_20260618</v>
      </c>
      <c r="U233" s="9" t="str">
        <f aca="false">VLOOKUP($P233,DM_TRANG_THAI!$A$4:$B$9,2,FALSE())</f>
        <v>P</v>
      </c>
    </row>
    <row r="234" customFormat="false" ht="15.75" hidden="false" customHeight="true" outlineLevel="0" collapsed="false">
      <c r="A234" s="9" t="n">
        <v>231</v>
      </c>
      <c r="B234" s="9" t="s">
        <v>47</v>
      </c>
      <c r="C234" s="10" t="str">
        <f aca="false">VLOOKUP($B234,DM_NHAN_VIEN!$B$4:$F$18,2,FALSE())</f>
        <v>Ngô Văn Tài</v>
      </c>
      <c r="D234" s="9" t="str">
        <f aca="false">VLOOKUP($B234,DM_NHAN_VIEN!$B$4:$F$18,3,FALSE())</f>
        <v>Hành chính</v>
      </c>
      <c r="E234" s="9" t="str">
        <f aca="false">VLOOKUP($B234,DM_NHAN_VIEN!$B$4:$F$18,4,FALSE())</f>
        <v>Phó phòng</v>
      </c>
      <c r="F234" s="18" t="n">
        <v>46191</v>
      </c>
      <c r="G234" s="9" t="str">
        <f aca="false">CHOOSE(WEEKDAY(F234,2),"Thứ Hai","Thứ Ba","Thứ Tư","Thứ Năm","Thứ Sáu","Thứ Bảy","Chủ Nhật")</f>
        <v>Thứ Năm</v>
      </c>
      <c r="H234" s="9" t="str">
        <f aca="false">VLOOKUP($B234,DM_NHAN_VIEN!$B$4:$F$18,5,FALSE())</f>
        <v>Ca Hành Chính</v>
      </c>
      <c r="I234" s="9" t="str">
        <f aca="false">VLOOKUP($H234,DM_CA_LAM!$A$4:$C$6,2,FALSE())</f>
        <v>07:30</v>
      </c>
      <c r="J234" s="9" t="str">
        <f aca="false">VLOOKUP($H234,DM_CA_LAM!$A$4:$C$6,3,FALSE())</f>
        <v>17:30</v>
      </c>
      <c r="K234" s="9" t="s">
        <v>150</v>
      </c>
      <c r="L234" s="9" t="s">
        <v>166</v>
      </c>
      <c r="M234" s="9" t="n">
        <f aca="false">IF($K234="","",MAX(0,ROUND((TIMEVALUE($K234)-TIMEVALUE($I234))*1440,0)))</f>
        <v>0</v>
      </c>
      <c r="N234" s="9" t="n">
        <f aca="false">IF($L234="","",MAX(0,ROUND((TIMEVALUE($J234)-TIMEVALUE($L234))*1440,0)))</f>
        <v>0</v>
      </c>
      <c r="O234" s="9" t="n">
        <f aca="false">IF(OR($K234="",$L234=""),0,ROUND(VLOOKUP($H234,DM_CA_LAM!$A$4:$F$6,6,FALSE())-$M234/60-$N234/60,2))</f>
        <v>8</v>
      </c>
      <c r="P234" s="9" t="s">
        <v>108</v>
      </c>
      <c r="Q234" s="9" t="n">
        <v>0</v>
      </c>
      <c r="R234" s="10"/>
      <c r="S234" s="10"/>
      <c r="T234" s="9" t="str">
        <f aca="false">$B234&amp;"_"&amp;TEXT($F234,"yyyymmdd")</f>
        <v>NV007_20260618</v>
      </c>
      <c r="U234" s="9" t="str">
        <f aca="false">VLOOKUP($P234,DM_TRANG_THAI!$A$4:$B$9,2,FALSE())</f>
        <v>P</v>
      </c>
    </row>
    <row r="235" customFormat="false" ht="15.75" hidden="false" customHeight="true" outlineLevel="0" collapsed="false">
      <c r="A235" s="9" t="n">
        <v>232</v>
      </c>
      <c r="B235" s="9" t="s">
        <v>51</v>
      </c>
      <c r="C235" s="10" t="str">
        <f aca="false">VLOOKUP($B235,DM_NHAN_VIEN!$B$4:$F$18,2,FALSE())</f>
        <v>Vũ Thị Nga</v>
      </c>
      <c r="D235" s="9" t="str">
        <f aca="false">VLOOKUP($B235,DM_NHAN_VIEN!$B$4:$F$18,3,FALSE())</f>
        <v>Hành chính</v>
      </c>
      <c r="E235" s="9" t="str">
        <f aca="false">VLOOKUP($B235,DM_NHAN_VIEN!$B$4:$F$18,4,FALSE())</f>
        <v>Chuyên viên</v>
      </c>
      <c r="F235" s="18" t="n">
        <v>46191</v>
      </c>
      <c r="G235" s="9" t="str">
        <f aca="false">CHOOSE(WEEKDAY(F235,2),"Thứ Hai","Thứ Ba","Thứ Tư","Thứ Năm","Thứ Sáu","Thứ Bảy","Chủ Nhật")</f>
        <v>Thứ Năm</v>
      </c>
      <c r="H235" s="9" t="str">
        <f aca="false">VLOOKUP($B235,DM_NHAN_VIEN!$B$4:$F$18,5,FALSE())</f>
        <v>Ca Hành Chính</v>
      </c>
      <c r="I235" s="9" t="str">
        <f aca="false">VLOOKUP($H235,DM_CA_LAM!$A$4:$C$6,2,FALSE())</f>
        <v>07:30</v>
      </c>
      <c r="J235" s="9" t="str">
        <f aca="false">VLOOKUP($H235,DM_CA_LAM!$A$4:$C$6,3,FALSE())</f>
        <v>17:30</v>
      </c>
      <c r="K235" s="9"/>
      <c r="L235" s="9"/>
      <c r="M235" s="9" t="str">
        <f aca="false">IF($K235="","",MAX(0,ROUND((TIMEVALUE($K235)-TIMEVALUE($I235))*1440,0)))</f>
        <v/>
      </c>
      <c r="N235" s="9" t="str">
        <f aca="false">IF($L235="","",MAX(0,ROUND((TIMEVALUE($J235)-TIMEVALUE($L235))*1440,0)))</f>
        <v/>
      </c>
      <c r="O235" s="9" t="n">
        <f aca="false">IF(OR($K235="",$L235=""),0,ROUND(VLOOKUP($H235,DM_CA_LAM!$A$4:$F$6,6,FALSE())-$M235/60-$N235/60,2))</f>
        <v>0</v>
      </c>
      <c r="P235" s="9" t="s">
        <v>117</v>
      </c>
      <c r="Q235" s="9" t="n">
        <v>0</v>
      </c>
      <c r="R235" s="10"/>
      <c r="S235" s="10"/>
      <c r="T235" s="9" t="str">
        <f aca="false">$B235&amp;"_"&amp;TEXT($F235,"yyyymmdd")</f>
        <v>NV008_20260618</v>
      </c>
      <c r="U235" s="9" t="str">
        <f aca="false">VLOOKUP($P235,DM_TRANG_THAI!$A$4:$B$9,2,FALSE())</f>
        <v>NP</v>
      </c>
    </row>
    <row r="236" customFormat="false" ht="15.75" hidden="false" customHeight="true" outlineLevel="0" collapsed="false">
      <c r="A236" s="9" t="n">
        <v>233</v>
      </c>
      <c r="B236" s="9" t="s">
        <v>55</v>
      </c>
      <c r="C236" s="10" t="str">
        <f aca="false">VLOOKUP($B236,DM_NHAN_VIEN!$B$4:$F$18,2,FALSE())</f>
        <v>Đặng Thị Hồng</v>
      </c>
      <c r="D236" s="9" t="str">
        <f aca="false">VLOOKUP($B236,DM_NHAN_VIEN!$B$4:$F$18,3,FALSE())</f>
        <v>Nhân sự</v>
      </c>
      <c r="E236" s="9" t="str">
        <f aca="false">VLOOKUP($B236,DM_NHAN_VIEN!$B$4:$F$18,4,FALSE())</f>
        <v>Chuyên viên</v>
      </c>
      <c r="F236" s="18" t="n">
        <v>46191</v>
      </c>
      <c r="G236" s="9" t="str">
        <f aca="false">CHOOSE(WEEKDAY(F236,2),"Thứ Hai","Thứ Ba","Thứ Tư","Thứ Năm","Thứ Sáu","Thứ Bảy","Chủ Nhật")</f>
        <v>Thứ Năm</v>
      </c>
      <c r="H236" s="9" t="str">
        <f aca="false">VLOOKUP($B236,DM_NHAN_VIEN!$B$4:$F$18,5,FALSE())</f>
        <v>Ca Hành Chính</v>
      </c>
      <c r="I236" s="9" t="str">
        <f aca="false">VLOOKUP($H236,DM_CA_LAM!$A$4:$C$6,2,FALSE())</f>
        <v>07:30</v>
      </c>
      <c r="J236" s="9" t="str">
        <f aca="false">VLOOKUP($H236,DM_CA_LAM!$A$4:$C$6,3,FALSE())</f>
        <v>17:30</v>
      </c>
      <c r="K236" s="9" t="s">
        <v>145</v>
      </c>
      <c r="L236" s="9" t="s">
        <v>143</v>
      </c>
      <c r="M236" s="9" t="n">
        <f aca="false">IF($K236="","",MAX(0,ROUND((TIMEVALUE($K236)-TIMEVALUE($I236))*1440,0)))</f>
        <v>0</v>
      </c>
      <c r="N236" s="9" t="n">
        <f aca="false">IF($L236="","",MAX(0,ROUND((TIMEVALUE($J236)-TIMEVALUE($L236))*1440,0)))</f>
        <v>0</v>
      </c>
      <c r="O236" s="9" t="n">
        <f aca="false">IF(OR($K236="",$L236=""),0,ROUND(VLOOKUP($H236,DM_CA_LAM!$A$4:$F$6,6,FALSE())-$M236/60-$N236/60,2))</f>
        <v>8</v>
      </c>
      <c r="P236" s="9" t="s">
        <v>108</v>
      </c>
      <c r="Q236" s="9" t="n">
        <v>0</v>
      </c>
      <c r="R236" s="10"/>
      <c r="S236" s="10"/>
      <c r="T236" s="9" t="str">
        <f aca="false">$B236&amp;"_"&amp;TEXT($F236,"yyyymmdd")</f>
        <v>NV010_20260618</v>
      </c>
      <c r="U236" s="9" t="str">
        <f aca="false">VLOOKUP($P236,DM_TRANG_THAI!$A$4:$B$9,2,FALSE())</f>
        <v>P</v>
      </c>
    </row>
    <row r="237" customFormat="false" ht="15.75" hidden="false" customHeight="true" outlineLevel="0" collapsed="false">
      <c r="A237" s="9" t="n">
        <v>234</v>
      </c>
      <c r="B237" s="9" t="s">
        <v>58</v>
      </c>
      <c r="C237" s="10" t="str">
        <f aca="false">VLOOKUP($B237,DM_NHAN_VIEN!$B$4:$F$18,2,FALSE())</f>
        <v>Chu Văn Minh</v>
      </c>
      <c r="D237" s="9" t="str">
        <f aca="false">VLOOKUP($B237,DM_NHAN_VIEN!$B$4:$F$18,3,FALSE())</f>
        <v>Nhân sự</v>
      </c>
      <c r="E237" s="9" t="str">
        <f aca="false">VLOOKUP($B237,DM_NHAN_VIEN!$B$4:$F$18,4,FALSE())</f>
        <v>Chuyên viên</v>
      </c>
      <c r="F237" s="18" t="n">
        <v>46191</v>
      </c>
      <c r="G237" s="9" t="str">
        <f aca="false">CHOOSE(WEEKDAY(F237,2),"Thứ Hai","Thứ Ba","Thứ Tư","Thứ Năm","Thứ Sáu","Thứ Bảy","Chủ Nhật")</f>
        <v>Thứ Năm</v>
      </c>
      <c r="H237" s="9" t="str">
        <f aca="false">VLOOKUP($B237,DM_NHAN_VIEN!$B$4:$F$18,5,FALSE())</f>
        <v>Ca Hành Chính</v>
      </c>
      <c r="I237" s="9" t="str">
        <f aca="false">VLOOKUP($H237,DM_CA_LAM!$A$4:$C$6,2,FALSE())</f>
        <v>07:30</v>
      </c>
      <c r="J237" s="9" t="str">
        <f aca="false">VLOOKUP($H237,DM_CA_LAM!$A$4:$C$6,3,FALSE())</f>
        <v>17:30</v>
      </c>
      <c r="K237" s="9" t="s">
        <v>171</v>
      </c>
      <c r="L237" s="9" t="s">
        <v>146</v>
      </c>
      <c r="M237" s="9" t="n">
        <f aca="false">IF($K237="","",MAX(0,ROUND((TIMEVALUE($K237)-TIMEVALUE($I237))*1440,0)))</f>
        <v>23</v>
      </c>
      <c r="N237" s="9" t="n">
        <f aca="false">IF($L237="","",MAX(0,ROUND((TIMEVALUE($J237)-TIMEVALUE($L237))*1440,0)))</f>
        <v>0</v>
      </c>
      <c r="O237" s="9" t="n">
        <f aca="false">IF(OR($K237="",$L237=""),0,ROUND(VLOOKUP($H237,DM_CA_LAM!$A$4:$F$6,6,FALSE())-$M237/60-$N237/60,2))</f>
        <v>7.62</v>
      </c>
      <c r="P237" s="9" t="s">
        <v>111</v>
      </c>
      <c r="Q237" s="9" t="n">
        <v>0</v>
      </c>
      <c r="R237" s="10"/>
      <c r="S237" s="10"/>
      <c r="T237" s="9" t="str">
        <f aca="false">$B237&amp;"_"&amp;TEXT($F237,"yyyymmdd")</f>
        <v>NV011_20260618</v>
      </c>
      <c r="U237" s="9" t="str">
        <f aca="false">VLOOKUP($P237,DM_TRANG_THAI!$A$4:$B$9,2,FALSE())</f>
        <v>L</v>
      </c>
    </row>
    <row r="238" customFormat="false" ht="15.75" hidden="false" customHeight="true" outlineLevel="0" collapsed="false">
      <c r="A238" s="9" t="n">
        <v>235</v>
      </c>
      <c r="B238" s="9" t="s">
        <v>61</v>
      </c>
      <c r="C238" s="10" t="str">
        <f aca="false">VLOOKUP($B238,DM_NHAN_VIEN!$B$4:$F$18,2,FALSE())</f>
        <v>Phan Thị Khánh</v>
      </c>
      <c r="D238" s="9" t="str">
        <f aca="false">VLOOKUP($B238,DM_NHAN_VIEN!$B$4:$F$18,3,FALSE())</f>
        <v>Kế toán</v>
      </c>
      <c r="E238" s="9" t="str">
        <f aca="false">VLOOKUP($B238,DM_NHAN_VIEN!$B$4:$F$18,4,FALSE())</f>
        <v>Trưởng phòng</v>
      </c>
      <c r="F238" s="18" t="n">
        <v>46191</v>
      </c>
      <c r="G238" s="9" t="str">
        <f aca="false">CHOOSE(WEEKDAY(F238,2),"Thứ Hai","Thứ Ba","Thứ Tư","Thứ Năm","Thứ Sáu","Thứ Bảy","Chủ Nhật")</f>
        <v>Thứ Năm</v>
      </c>
      <c r="H238" s="9" t="str">
        <f aca="false">VLOOKUP($B238,DM_NHAN_VIEN!$B$4:$F$18,5,FALSE())</f>
        <v>Ca Hành Chính</v>
      </c>
      <c r="I238" s="9" t="str">
        <f aca="false">VLOOKUP($H238,DM_CA_LAM!$A$4:$C$6,2,FALSE())</f>
        <v>07:30</v>
      </c>
      <c r="J238" s="9" t="str">
        <f aca="false">VLOOKUP($H238,DM_CA_LAM!$A$4:$C$6,3,FALSE())</f>
        <v>17:30</v>
      </c>
      <c r="K238" s="9" t="s">
        <v>92</v>
      </c>
      <c r="L238" s="9" t="s">
        <v>164</v>
      </c>
      <c r="M238" s="9" t="n">
        <f aca="false">IF($K238="","",MAX(0,ROUND((TIMEVALUE($K238)-TIMEVALUE($I238))*1440,0)))</f>
        <v>0</v>
      </c>
      <c r="N238" s="9" t="n">
        <f aca="false">IF($L238="","",MAX(0,ROUND((TIMEVALUE($J238)-TIMEVALUE($L238))*1440,0)))</f>
        <v>0</v>
      </c>
      <c r="O238" s="9" t="n">
        <f aca="false">IF(OR($K238="",$L238=""),0,ROUND(VLOOKUP($H238,DM_CA_LAM!$A$4:$F$6,6,FALSE())-$M238/60-$N238/60,2))</f>
        <v>8</v>
      </c>
      <c r="P238" s="9" t="s">
        <v>108</v>
      </c>
      <c r="Q238" s="9" t="n">
        <v>0</v>
      </c>
      <c r="R238" s="10"/>
      <c r="S238" s="10"/>
      <c r="T238" s="9" t="str">
        <f aca="false">$B238&amp;"_"&amp;TEXT($F238,"yyyymmdd")</f>
        <v>NV014_20260618</v>
      </c>
      <c r="U238" s="9" t="str">
        <f aca="false">VLOOKUP($P238,DM_TRANG_THAI!$A$4:$B$9,2,FALSE())</f>
        <v>P</v>
      </c>
    </row>
    <row r="239" customFormat="false" ht="15.75" hidden="false" customHeight="true" outlineLevel="0" collapsed="false">
      <c r="A239" s="9" t="n">
        <v>236</v>
      </c>
      <c r="B239" s="9" t="s">
        <v>65</v>
      </c>
      <c r="C239" s="10" t="str">
        <f aca="false">VLOOKUP($B239,DM_NHAN_VIEN!$B$4:$F$18,2,FALSE())</f>
        <v>Trịnh Văn Hùng</v>
      </c>
      <c r="D239" s="9" t="str">
        <f aca="false">VLOOKUP($B239,DM_NHAN_VIEN!$B$4:$F$18,3,FALSE())</f>
        <v>Kế toán</v>
      </c>
      <c r="E239" s="9" t="str">
        <f aca="false">VLOOKUP($B239,DM_NHAN_VIEN!$B$4:$F$18,4,FALSE())</f>
        <v>Phó phòng</v>
      </c>
      <c r="F239" s="18" t="n">
        <v>46191</v>
      </c>
      <c r="G239" s="9" t="str">
        <f aca="false">CHOOSE(WEEKDAY(F239,2),"Thứ Hai","Thứ Ba","Thứ Tư","Thứ Năm","Thứ Sáu","Thứ Bảy","Chủ Nhật")</f>
        <v>Thứ Năm</v>
      </c>
      <c r="H239" s="9" t="str">
        <f aca="false">VLOOKUP($B239,DM_NHAN_VIEN!$B$4:$F$18,5,FALSE())</f>
        <v>Ca Hành Chính</v>
      </c>
      <c r="I239" s="9" t="str">
        <f aca="false">VLOOKUP($H239,DM_CA_LAM!$A$4:$C$6,2,FALSE())</f>
        <v>07:30</v>
      </c>
      <c r="J239" s="9" t="str">
        <f aca="false">VLOOKUP($H239,DM_CA_LAM!$A$4:$C$6,3,FALSE())</f>
        <v>17:30</v>
      </c>
      <c r="K239" s="9" t="s">
        <v>145</v>
      </c>
      <c r="L239" s="9" t="s">
        <v>143</v>
      </c>
      <c r="M239" s="9" t="n">
        <f aca="false">IF($K239="","",MAX(0,ROUND((TIMEVALUE($K239)-TIMEVALUE($I239))*1440,0)))</f>
        <v>0</v>
      </c>
      <c r="N239" s="9" t="n">
        <f aca="false">IF($L239="","",MAX(0,ROUND((TIMEVALUE($J239)-TIMEVALUE($L239))*1440,0)))</f>
        <v>0</v>
      </c>
      <c r="O239" s="9" t="n">
        <f aca="false">IF(OR($K239="",$L239=""),0,ROUND(VLOOKUP($H239,DM_CA_LAM!$A$4:$F$6,6,FALSE())-$M239/60-$N239/60,2))</f>
        <v>8</v>
      </c>
      <c r="P239" s="9" t="s">
        <v>108</v>
      </c>
      <c r="Q239" s="9" t="n">
        <v>0</v>
      </c>
      <c r="R239" s="10"/>
      <c r="S239" s="10"/>
      <c r="T239" s="9" t="str">
        <f aca="false">$B239&amp;"_"&amp;TEXT($F239,"yyyymmdd")</f>
        <v>NV015_20260618</v>
      </c>
      <c r="U239" s="9" t="str">
        <f aca="false">VLOOKUP($P239,DM_TRANG_THAI!$A$4:$B$9,2,FALSE())</f>
        <v>P</v>
      </c>
    </row>
    <row r="240" customFormat="false" ht="15.75" hidden="false" customHeight="true" outlineLevel="0" collapsed="false">
      <c r="A240" s="9" t="n">
        <v>237</v>
      </c>
      <c r="B240" s="9" t="s">
        <v>68</v>
      </c>
      <c r="C240" s="10" t="str">
        <f aca="false">VLOOKUP($B240,DM_NHAN_VIEN!$B$4:$F$18,2,FALSE())</f>
        <v>Hoàng Văn Lộc</v>
      </c>
      <c r="D240" s="9" t="str">
        <f aca="false">VLOOKUP($B240,DM_NHAN_VIEN!$B$4:$F$18,3,FALSE())</f>
        <v>Kinh doanh</v>
      </c>
      <c r="E240" s="9" t="str">
        <f aca="false">VLOOKUP($B240,DM_NHAN_VIEN!$B$4:$F$18,4,FALSE())</f>
        <v>Trưởng phòng</v>
      </c>
      <c r="F240" s="18" t="n">
        <v>46191</v>
      </c>
      <c r="G240" s="9" t="str">
        <f aca="false">CHOOSE(WEEKDAY(F240,2),"Thứ Hai","Thứ Ba","Thứ Tư","Thứ Năm","Thứ Sáu","Thứ Bảy","Chủ Nhật")</f>
        <v>Thứ Năm</v>
      </c>
      <c r="H240" s="9" t="str">
        <f aca="false">VLOOKUP($B240,DM_NHAN_VIEN!$B$4:$F$18,5,FALSE())</f>
        <v>Ca Hành Chính</v>
      </c>
      <c r="I240" s="9" t="str">
        <f aca="false">VLOOKUP($H240,DM_CA_LAM!$A$4:$C$6,2,FALSE())</f>
        <v>07:30</v>
      </c>
      <c r="J240" s="9" t="str">
        <f aca="false">VLOOKUP($H240,DM_CA_LAM!$A$4:$C$6,3,FALSE())</f>
        <v>17:30</v>
      </c>
      <c r="K240" s="9" t="s">
        <v>148</v>
      </c>
      <c r="L240" s="9" t="s">
        <v>146</v>
      </c>
      <c r="M240" s="9" t="n">
        <f aca="false">IF($K240="","",MAX(0,ROUND((TIMEVALUE($K240)-TIMEVALUE($I240))*1440,0)))</f>
        <v>0</v>
      </c>
      <c r="N240" s="9" t="n">
        <f aca="false">IF($L240="","",MAX(0,ROUND((TIMEVALUE($J240)-TIMEVALUE($L240))*1440,0)))</f>
        <v>0</v>
      </c>
      <c r="O240" s="9" t="n">
        <f aca="false">IF(OR($K240="",$L240=""),0,ROUND(VLOOKUP($H240,DM_CA_LAM!$A$4:$F$6,6,FALSE())-$M240/60-$N240/60,2))</f>
        <v>8</v>
      </c>
      <c r="P240" s="9" t="s">
        <v>108</v>
      </c>
      <c r="Q240" s="9" t="n">
        <v>0</v>
      </c>
      <c r="R240" s="10"/>
      <c r="S240" s="10"/>
      <c r="T240" s="9" t="str">
        <f aca="false">$B240&amp;"_"&amp;TEXT($F240,"yyyymmdd")</f>
        <v>NV019_20260618</v>
      </c>
      <c r="U240" s="9" t="str">
        <f aca="false">VLOOKUP($P240,DM_TRANG_THAI!$A$4:$B$9,2,FALSE())</f>
        <v>P</v>
      </c>
    </row>
    <row r="241" customFormat="false" ht="15.75" hidden="false" customHeight="true" outlineLevel="0" collapsed="false">
      <c r="A241" s="9" t="n">
        <v>238</v>
      </c>
      <c r="B241" s="9" t="s">
        <v>72</v>
      </c>
      <c r="C241" s="10" t="str">
        <f aca="false">VLOOKUP($B241,DM_NHAN_VIEN!$B$4:$F$18,2,FALSE())</f>
        <v>Nguyễn Văn Phú</v>
      </c>
      <c r="D241" s="9" t="str">
        <f aca="false">VLOOKUP($B241,DM_NHAN_VIEN!$B$4:$F$18,3,FALSE())</f>
        <v>Kinh doanh</v>
      </c>
      <c r="E241" s="9" t="str">
        <f aca="false">VLOOKUP($B241,DM_NHAN_VIEN!$B$4:$F$18,4,FALSE())</f>
        <v>Nhân viên</v>
      </c>
      <c r="F241" s="18" t="n">
        <v>46191</v>
      </c>
      <c r="G241" s="9" t="str">
        <f aca="false">CHOOSE(WEEKDAY(F241,2),"Thứ Hai","Thứ Ba","Thứ Tư","Thứ Năm","Thứ Sáu","Thứ Bảy","Chủ Nhật")</f>
        <v>Thứ Năm</v>
      </c>
      <c r="H241" s="9" t="str">
        <f aca="false">VLOOKUP($B241,DM_NHAN_VIEN!$B$4:$F$18,5,FALSE())</f>
        <v>Ca Hành Chính</v>
      </c>
      <c r="I241" s="9" t="str">
        <f aca="false">VLOOKUP($H241,DM_CA_LAM!$A$4:$C$6,2,FALSE())</f>
        <v>07:30</v>
      </c>
      <c r="J241" s="9" t="str">
        <f aca="false">VLOOKUP($H241,DM_CA_LAM!$A$4:$C$6,3,FALSE())</f>
        <v>17:30</v>
      </c>
      <c r="K241" s="9" t="s">
        <v>145</v>
      </c>
      <c r="L241" s="9" t="s">
        <v>157</v>
      </c>
      <c r="M241" s="9" t="n">
        <f aca="false">IF($K241="","",MAX(0,ROUND((TIMEVALUE($K241)-TIMEVALUE($I241))*1440,0)))</f>
        <v>0</v>
      </c>
      <c r="N241" s="9" t="n">
        <f aca="false">IF($L241="","",MAX(0,ROUND((TIMEVALUE($J241)-TIMEVALUE($L241))*1440,0)))</f>
        <v>0</v>
      </c>
      <c r="O241" s="9" t="n">
        <f aca="false">IF(OR($K241="",$L241=""),0,ROUND(VLOOKUP($H241,DM_CA_LAM!$A$4:$F$6,6,FALSE())-$M241/60-$N241/60,2))</f>
        <v>8</v>
      </c>
      <c r="P241" s="9" t="s">
        <v>108</v>
      </c>
      <c r="Q241" s="9" t="n">
        <v>0</v>
      </c>
      <c r="R241" s="10"/>
      <c r="S241" s="10"/>
      <c r="T241" s="9" t="str">
        <f aca="false">$B241&amp;"_"&amp;TEXT($F241,"yyyymmdd")</f>
        <v>NV021_20260618</v>
      </c>
      <c r="U241" s="9" t="str">
        <f aca="false">VLOOKUP($P241,DM_TRANG_THAI!$A$4:$B$9,2,FALSE())</f>
        <v>P</v>
      </c>
    </row>
    <row r="242" customFormat="false" ht="15.75" hidden="false" customHeight="true" outlineLevel="0" collapsed="false">
      <c r="A242" s="9" t="n">
        <v>239</v>
      </c>
      <c r="B242" s="9" t="s">
        <v>76</v>
      </c>
      <c r="C242" s="10" t="str">
        <f aca="false">VLOOKUP($B242,DM_NHAN_VIEN!$B$4:$F$18,2,FALSE())</f>
        <v>Lý Văn Dũng</v>
      </c>
      <c r="D242" s="9" t="str">
        <f aca="false">VLOOKUP($B242,DM_NHAN_VIEN!$B$4:$F$18,3,FALSE())</f>
        <v>Xưởng sản xuất</v>
      </c>
      <c r="E242" s="9" t="str">
        <f aca="false">VLOOKUP($B242,DM_NHAN_VIEN!$B$4:$F$18,4,FALSE())</f>
        <v>Tổ trưởng</v>
      </c>
      <c r="F242" s="18" t="n">
        <v>46191</v>
      </c>
      <c r="G242" s="9" t="str">
        <f aca="false">CHOOSE(WEEKDAY(F242,2),"Thứ Hai","Thứ Ba","Thứ Tư","Thứ Năm","Thứ Sáu","Thứ Bảy","Chủ Nhật")</f>
        <v>Thứ Năm</v>
      </c>
      <c r="H242" s="9" t="str">
        <f aca="false">VLOOKUP($B242,DM_NHAN_VIEN!$B$4:$F$18,5,FALSE())</f>
        <v>Ca Hành Chính</v>
      </c>
      <c r="I242" s="9" t="str">
        <f aca="false">VLOOKUP($H242,DM_CA_LAM!$A$4:$C$6,2,FALSE())</f>
        <v>07:30</v>
      </c>
      <c r="J242" s="9" t="str">
        <f aca="false">VLOOKUP($H242,DM_CA_LAM!$A$4:$C$6,3,FALSE())</f>
        <v>17:30</v>
      </c>
      <c r="K242" s="9" t="s">
        <v>158</v>
      </c>
      <c r="L242" s="9" t="s">
        <v>93</v>
      </c>
      <c r="M242" s="9" t="n">
        <f aca="false">IF($K242="","",MAX(0,ROUND((TIMEVALUE($K242)-TIMEVALUE($I242))*1440,0)))</f>
        <v>0</v>
      </c>
      <c r="N242" s="9" t="n">
        <f aca="false">IF($L242="","",MAX(0,ROUND((TIMEVALUE($J242)-TIMEVALUE($L242))*1440,0)))</f>
        <v>0</v>
      </c>
      <c r="O242" s="9" t="n">
        <f aca="false">IF(OR($K242="",$L242=""),0,ROUND(VLOOKUP($H242,DM_CA_LAM!$A$4:$F$6,6,FALSE())-$M242/60-$N242/60,2))</f>
        <v>8</v>
      </c>
      <c r="P242" s="9" t="s">
        <v>108</v>
      </c>
      <c r="Q242" s="9" t="n">
        <v>0</v>
      </c>
      <c r="R242" s="10"/>
      <c r="S242" s="10"/>
      <c r="T242" s="9" t="str">
        <f aca="false">$B242&amp;"_"&amp;TEXT($F242,"yyyymmdd")</f>
        <v>NV029_20260618</v>
      </c>
      <c r="U242" s="9" t="str">
        <f aca="false">VLOOKUP($P242,DM_TRANG_THAI!$A$4:$B$9,2,FALSE())</f>
        <v>P</v>
      </c>
    </row>
    <row r="243" customFormat="false" ht="15.75" hidden="false" customHeight="true" outlineLevel="0" collapsed="false">
      <c r="A243" s="9" t="n">
        <v>240</v>
      </c>
      <c r="B243" s="9" t="s">
        <v>80</v>
      </c>
      <c r="C243" s="10" t="str">
        <f aca="false">VLOOKUP($B243,DM_NHAN_VIEN!$B$4:$F$18,2,FALSE())</f>
        <v>Tống Văn Thắng</v>
      </c>
      <c r="D243" s="9" t="str">
        <f aca="false">VLOOKUP($B243,DM_NHAN_VIEN!$B$4:$F$18,3,FALSE())</f>
        <v>Xưởng sản xuất</v>
      </c>
      <c r="E243" s="9" t="str">
        <f aca="false">VLOOKUP($B243,DM_NHAN_VIEN!$B$4:$F$18,4,FALSE())</f>
        <v>Tổ trưởng</v>
      </c>
      <c r="F243" s="18" t="n">
        <v>46191</v>
      </c>
      <c r="G243" s="9" t="str">
        <f aca="false">CHOOSE(WEEKDAY(F243,2),"Thứ Hai","Thứ Ba","Thứ Tư","Thứ Năm","Thứ Sáu","Thứ Bảy","Chủ Nhật")</f>
        <v>Thứ Năm</v>
      </c>
      <c r="H243" s="9" t="str">
        <f aca="false">VLOOKUP($B243,DM_NHAN_VIEN!$B$4:$F$18,5,FALSE())</f>
        <v>Ca Hành Chính</v>
      </c>
      <c r="I243" s="9" t="str">
        <f aca="false">VLOOKUP($H243,DM_CA_LAM!$A$4:$C$6,2,FALSE())</f>
        <v>07:30</v>
      </c>
      <c r="J243" s="9" t="str">
        <f aca="false">VLOOKUP($H243,DM_CA_LAM!$A$4:$C$6,3,FALSE())</f>
        <v>17:30</v>
      </c>
      <c r="K243" s="9" t="s">
        <v>142</v>
      </c>
      <c r="L243" s="9" t="s">
        <v>166</v>
      </c>
      <c r="M243" s="9" t="n">
        <f aca="false">IF($K243="","",MAX(0,ROUND((TIMEVALUE($K243)-TIMEVALUE($I243))*1440,0)))</f>
        <v>0</v>
      </c>
      <c r="N243" s="9" t="n">
        <f aca="false">IF($L243="","",MAX(0,ROUND((TIMEVALUE($J243)-TIMEVALUE($L243))*1440,0)))</f>
        <v>0</v>
      </c>
      <c r="O243" s="9" t="n">
        <f aca="false">IF(OR($K243="",$L243=""),0,ROUND(VLOOKUP($H243,DM_CA_LAM!$A$4:$F$6,6,FALSE())-$M243/60-$N243/60,2))</f>
        <v>8</v>
      </c>
      <c r="P243" s="9" t="s">
        <v>108</v>
      </c>
      <c r="Q243" s="9" t="n">
        <v>0</v>
      </c>
      <c r="R243" s="10"/>
      <c r="S243" s="10"/>
      <c r="T243" s="9" t="str">
        <f aca="false">$B243&amp;"_"&amp;TEXT($F243,"yyyymmdd")</f>
        <v>NV030_20260618</v>
      </c>
      <c r="U243" s="9" t="str">
        <f aca="false">VLOOKUP($P243,DM_TRANG_THAI!$A$4:$B$9,2,FALSE())</f>
        <v>P</v>
      </c>
    </row>
    <row r="244" customFormat="false" ht="15.75" hidden="false" customHeight="true" outlineLevel="0" collapsed="false">
      <c r="A244" s="9" t="n">
        <v>241</v>
      </c>
      <c r="B244" s="9" t="s">
        <v>24</v>
      </c>
      <c r="C244" s="10" t="str">
        <f aca="false">VLOOKUP($B244,DM_NHAN_VIEN!$B$4:$F$18,2,FALSE())</f>
        <v>Nguyễn Văn Giám Đốc</v>
      </c>
      <c r="D244" s="9" t="str">
        <f aca="false">VLOOKUP($B244,DM_NHAN_VIEN!$B$4:$F$18,3,FALSE())</f>
        <v>Hành chính</v>
      </c>
      <c r="E244" s="9" t="str">
        <f aca="false">VLOOKUP($B244,DM_NHAN_VIEN!$B$4:$F$18,4,FALSE())</f>
        <v>Giám đốc</v>
      </c>
      <c r="F244" s="18" t="n">
        <v>46192</v>
      </c>
      <c r="G244" s="9" t="str">
        <f aca="false">CHOOSE(WEEKDAY(F244,2),"Thứ Hai","Thứ Ba","Thứ Tư","Thứ Năm","Thứ Sáu","Thứ Bảy","Chủ Nhật")</f>
        <v>Thứ Sáu</v>
      </c>
      <c r="H244" s="9" t="str">
        <f aca="false">VLOOKUP($B244,DM_NHAN_VIEN!$B$4:$F$18,5,FALSE())</f>
        <v>Ca Hành Chính</v>
      </c>
      <c r="I244" s="9" t="str">
        <f aca="false">VLOOKUP($H244,DM_CA_LAM!$A$4:$C$6,2,FALSE())</f>
        <v>07:30</v>
      </c>
      <c r="J244" s="9" t="str">
        <f aca="false">VLOOKUP($H244,DM_CA_LAM!$A$4:$C$6,3,FALSE())</f>
        <v>17:30</v>
      </c>
      <c r="K244" s="9" t="s">
        <v>156</v>
      </c>
      <c r="L244" s="9" t="s">
        <v>174</v>
      </c>
      <c r="M244" s="9" t="n">
        <f aca="false">IF($K244="","",MAX(0,ROUND((TIMEVALUE($K244)-TIMEVALUE($I244))*1440,0)))</f>
        <v>0</v>
      </c>
      <c r="N244" s="9" t="n">
        <f aca="false">IF($L244="","",MAX(0,ROUND((TIMEVALUE($J244)-TIMEVALUE($L244))*1440,0)))</f>
        <v>0</v>
      </c>
      <c r="O244" s="9" t="n">
        <f aca="false">IF(OR($K244="",$L244=""),0,ROUND(VLOOKUP($H244,DM_CA_LAM!$A$4:$F$6,6,FALSE())-$M244/60-$N244/60,2))</f>
        <v>8</v>
      </c>
      <c r="P244" s="9" t="s">
        <v>108</v>
      </c>
      <c r="Q244" s="9" t="n">
        <v>0</v>
      </c>
      <c r="R244" s="10"/>
      <c r="S244" s="10"/>
      <c r="T244" s="9" t="str">
        <f aca="false">$B244&amp;"_"&amp;TEXT($F244,"yyyymmdd")</f>
        <v>NV002_20260619</v>
      </c>
      <c r="U244" s="9" t="str">
        <f aca="false">VLOOKUP($P244,DM_TRANG_THAI!$A$4:$B$9,2,FALSE())</f>
        <v>P</v>
      </c>
    </row>
    <row r="245" customFormat="false" ht="15.75" hidden="false" customHeight="true" outlineLevel="0" collapsed="false">
      <c r="A245" s="9" t="n">
        <v>242</v>
      </c>
      <c r="B245" s="9" t="s">
        <v>30</v>
      </c>
      <c r="C245" s="10" t="str">
        <f aca="false">VLOOKUP($B245,DM_NHAN_VIEN!$B$4:$F$18,2,FALSE())</f>
        <v>Trần Thị Nhân Sự</v>
      </c>
      <c r="D245" s="9" t="str">
        <f aca="false">VLOOKUP($B245,DM_NHAN_VIEN!$B$4:$F$18,3,FALSE())</f>
        <v>Nhân sự</v>
      </c>
      <c r="E245" s="9" t="str">
        <f aca="false">VLOOKUP($B245,DM_NHAN_VIEN!$B$4:$F$18,4,FALSE())</f>
        <v>Trưởng phòng</v>
      </c>
      <c r="F245" s="18" t="n">
        <v>46192</v>
      </c>
      <c r="G245" s="9" t="str">
        <f aca="false">CHOOSE(WEEKDAY(F245,2),"Thứ Hai","Thứ Ba","Thứ Tư","Thứ Năm","Thứ Sáu","Thứ Bảy","Chủ Nhật")</f>
        <v>Thứ Sáu</v>
      </c>
      <c r="H245" s="9" t="str">
        <f aca="false">VLOOKUP($B245,DM_NHAN_VIEN!$B$4:$F$18,5,FALSE())</f>
        <v>Ca Hành Chính</v>
      </c>
      <c r="I245" s="9" t="str">
        <f aca="false">VLOOKUP($H245,DM_CA_LAM!$A$4:$C$6,2,FALSE())</f>
        <v>07:30</v>
      </c>
      <c r="J245" s="9" t="str">
        <f aca="false">VLOOKUP($H245,DM_CA_LAM!$A$4:$C$6,3,FALSE())</f>
        <v>17:30</v>
      </c>
      <c r="K245" s="9" t="s">
        <v>92</v>
      </c>
      <c r="L245" s="9" t="s">
        <v>183</v>
      </c>
      <c r="M245" s="9" t="n">
        <f aca="false">IF($K245="","",MAX(0,ROUND((TIMEVALUE($K245)-TIMEVALUE($I245))*1440,0)))</f>
        <v>0</v>
      </c>
      <c r="N245" s="9" t="n">
        <f aca="false">IF($L245="","",MAX(0,ROUND((TIMEVALUE($J245)-TIMEVALUE($L245))*1440,0)))</f>
        <v>0</v>
      </c>
      <c r="O245" s="9" t="n">
        <f aca="false">IF(OR($K245="",$L245=""),0,ROUND(VLOOKUP($H245,DM_CA_LAM!$A$4:$F$6,6,FALSE())-$M245/60-$N245/60,2))</f>
        <v>8</v>
      </c>
      <c r="P245" s="9" t="s">
        <v>108</v>
      </c>
      <c r="Q245" s="9" t="n">
        <v>0</v>
      </c>
      <c r="R245" s="10"/>
      <c r="S245" s="10"/>
      <c r="T245" s="9" t="str">
        <f aca="false">$B245&amp;"_"&amp;TEXT($F245,"yyyymmdd")</f>
        <v>NV003_20260619</v>
      </c>
      <c r="U245" s="9" t="str">
        <f aca="false">VLOOKUP($P245,DM_TRANG_THAI!$A$4:$B$9,2,FALSE())</f>
        <v>P</v>
      </c>
    </row>
    <row r="246" customFormat="false" ht="15.75" hidden="false" customHeight="true" outlineLevel="0" collapsed="false">
      <c r="A246" s="9" t="n">
        <v>243</v>
      </c>
      <c r="B246" s="9" t="s">
        <v>35</v>
      </c>
      <c r="C246" s="10" t="str">
        <f aca="false">VLOOKUP($B246,DM_NHAN_VIEN!$B$4:$F$18,2,FALSE())</f>
        <v>Lê Văn Quản Đốc</v>
      </c>
      <c r="D246" s="9" t="str">
        <f aca="false">VLOOKUP($B246,DM_NHAN_VIEN!$B$4:$F$18,3,FALSE())</f>
        <v>Xưởng sản xuất</v>
      </c>
      <c r="E246" s="9" t="str">
        <f aca="false">VLOOKUP($B246,DM_NHAN_VIEN!$B$4:$F$18,4,FALSE())</f>
        <v>Quản đốc</v>
      </c>
      <c r="F246" s="18" t="n">
        <v>46192</v>
      </c>
      <c r="G246" s="9" t="str">
        <f aca="false">CHOOSE(WEEKDAY(F246,2),"Thứ Hai","Thứ Ba","Thứ Tư","Thứ Năm","Thứ Sáu","Thứ Bảy","Chủ Nhật")</f>
        <v>Thứ Sáu</v>
      </c>
      <c r="H246" s="9" t="str">
        <f aca="false">VLOOKUP($B246,DM_NHAN_VIEN!$B$4:$F$18,5,FALSE())</f>
        <v>Ca Hành Chính</v>
      </c>
      <c r="I246" s="9" t="str">
        <f aca="false">VLOOKUP($H246,DM_CA_LAM!$A$4:$C$6,2,FALSE())</f>
        <v>07:30</v>
      </c>
      <c r="J246" s="9" t="str">
        <f aca="false">VLOOKUP($H246,DM_CA_LAM!$A$4:$C$6,3,FALSE())</f>
        <v>17:30</v>
      </c>
      <c r="K246" s="9" t="s">
        <v>160</v>
      </c>
      <c r="L246" s="9" t="s">
        <v>166</v>
      </c>
      <c r="M246" s="9" t="n">
        <f aca="false">IF($K246="","",MAX(0,ROUND((TIMEVALUE($K246)-TIMEVALUE($I246))*1440,0)))</f>
        <v>0</v>
      </c>
      <c r="N246" s="9" t="n">
        <f aca="false">IF($L246="","",MAX(0,ROUND((TIMEVALUE($J246)-TIMEVALUE($L246))*1440,0)))</f>
        <v>0</v>
      </c>
      <c r="O246" s="9" t="n">
        <f aca="false">IF(OR($K246="",$L246=""),0,ROUND(VLOOKUP($H246,DM_CA_LAM!$A$4:$F$6,6,FALSE())-$M246/60-$N246/60,2))</f>
        <v>8</v>
      </c>
      <c r="P246" s="9" t="s">
        <v>108</v>
      </c>
      <c r="Q246" s="9" t="n">
        <v>0</v>
      </c>
      <c r="R246" s="10"/>
      <c r="S246" s="10"/>
      <c r="T246" s="9" t="str">
        <f aca="false">$B246&amp;"_"&amp;TEXT($F246,"yyyymmdd")</f>
        <v>NV004_20260619</v>
      </c>
      <c r="U246" s="9" t="str">
        <f aca="false">VLOOKUP($P246,DM_TRANG_THAI!$A$4:$B$9,2,FALSE())</f>
        <v>P</v>
      </c>
    </row>
    <row r="247" customFormat="false" ht="15.75" hidden="false" customHeight="true" outlineLevel="0" collapsed="false">
      <c r="A247" s="9" t="n">
        <v>244</v>
      </c>
      <c r="B247" s="9" t="s">
        <v>40</v>
      </c>
      <c r="C247" s="10" t="str">
        <f aca="false">VLOOKUP($B247,DM_NHAN_VIEN!$B$4:$F$18,2,FALSE())</f>
        <v>Phạm Công Nhân</v>
      </c>
      <c r="D247" s="9" t="str">
        <f aca="false">VLOOKUP($B247,DM_NHAN_VIEN!$B$4:$F$18,3,FALSE())</f>
        <v>Xưởng sản xuất</v>
      </c>
      <c r="E247" s="9" t="str">
        <f aca="false">VLOOKUP($B247,DM_NHAN_VIEN!$B$4:$F$18,4,FALSE())</f>
        <v>Công nhân</v>
      </c>
      <c r="F247" s="18" t="n">
        <v>46192</v>
      </c>
      <c r="G247" s="9" t="str">
        <f aca="false">CHOOSE(WEEKDAY(F247,2),"Thứ Hai","Thứ Ba","Thứ Tư","Thứ Năm","Thứ Sáu","Thứ Bảy","Chủ Nhật")</f>
        <v>Thứ Sáu</v>
      </c>
      <c r="H247" s="9" t="str">
        <f aca="false">VLOOKUP($B247,DM_NHAN_VIEN!$B$4:$F$18,5,FALSE())</f>
        <v>Ca Hành Chính</v>
      </c>
      <c r="I247" s="9" t="str">
        <f aca="false">VLOOKUP($H247,DM_CA_LAM!$A$4:$C$6,2,FALSE())</f>
        <v>07:30</v>
      </c>
      <c r="J247" s="9" t="str">
        <f aca="false">VLOOKUP($H247,DM_CA_LAM!$A$4:$C$6,3,FALSE())</f>
        <v>17:30</v>
      </c>
      <c r="K247" s="9" t="s">
        <v>145</v>
      </c>
      <c r="L247" s="9" t="s">
        <v>164</v>
      </c>
      <c r="M247" s="9" t="n">
        <f aca="false">IF($K247="","",MAX(0,ROUND((TIMEVALUE($K247)-TIMEVALUE($I247))*1440,0)))</f>
        <v>0</v>
      </c>
      <c r="N247" s="9" t="n">
        <f aca="false">IF($L247="","",MAX(0,ROUND((TIMEVALUE($J247)-TIMEVALUE($L247))*1440,0)))</f>
        <v>0</v>
      </c>
      <c r="O247" s="9" t="n">
        <f aca="false">IF(OR($K247="",$L247=""),0,ROUND(VLOOKUP($H247,DM_CA_LAM!$A$4:$F$6,6,FALSE())-$M247/60-$N247/60,2))</f>
        <v>8</v>
      </c>
      <c r="P247" s="9" t="s">
        <v>108</v>
      </c>
      <c r="Q247" s="9" t="n">
        <v>0</v>
      </c>
      <c r="R247" s="10"/>
      <c r="S247" s="10"/>
      <c r="T247" s="9" t="str">
        <f aca="false">$B247&amp;"_"&amp;TEXT($F247,"yyyymmdd")</f>
        <v>NV005_20260619</v>
      </c>
      <c r="U247" s="9" t="str">
        <f aca="false">VLOOKUP($P247,DM_TRANG_THAI!$A$4:$B$9,2,FALSE())</f>
        <v>P</v>
      </c>
    </row>
    <row r="248" customFormat="false" ht="15.75" hidden="false" customHeight="true" outlineLevel="0" collapsed="false">
      <c r="A248" s="9" t="n">
        <v>245</v>
      </c>
      <c r="B248" s="9" t="s">
        <v>44</v>
      </c>
      <c r="C248" s="10" t="str">
        <f aca="false">VLOOKUP($B248,DM_NHAN_VIEN!$B$4:$F$18,2,FALSE())</f>
        <v>Đỗ Thị Hà</v>
      </c>
      <c r="D248" s="9" t="str">
        <f aca="false">VLOOKUP($B248,DM_NHAN_VIEN!$B$4:$F$18,3,FALSE())</f>
        <v>Hành chính</v>
      </c>
      <c r="E248" s="9" t="str">
        <f aca="false">VLOOKUP($B248,DM_NHAN_VIEN!$B$4:$F$18,4,FALSE())</f>
        <v>Trưởng phòng</v>
      </c>
      <c r="F248" s="18" t="n">
        <v>46192</v>
      </c>
      <c r="G248" s="9" t="str">
        <f aca="false">CHOOSE(WEEKDAY(F248,2),"Thứ Hai","Thứ Ba","Thứ Tư","Thứ Năm","Thứ Sáu","Thứ Bảy","Chủ Nhật")</f>
        <v>Thứ Sáu</v>
      </c>
      <c r="H248" s="9" t="str">
        <f aca="false">VLOOKUP($B248,DM_NHAN_VIEN!$B$4:$F$18,5,FALSE())</f>
        <v>Ca Hành Chính</v>
      </c>
      <c r="I248" s="9" t="str">
        <f aca="false">VLOOKUP($H248,DM_CA_LAM!$A$4:$C$6,2,FALSE())</f>
        <v>07:30</v>
      </c>
      <c r="J248" s="9" t="str">
        <f aca="false">VLOOKUP($H248,DM_CA_LAM!$A$4:$C$6,3,FALSE())</f>
        <v>17:30</v>
      </c>
      <c r="K248" s="9" t="s">
        <v>193</v>
      </c>
      <c r="L248" s="9" t="s">
        <v>164</v>
      </c>
      <c r="M248" s="9" t="n">
        <f aca="false">IF($K248="","",MAX(0,ROUND((TIMEVALUE($K248)-TIMEVALUE($I248))*1440,0)))</f>
        <v>33</v>
      </c>
      <c r="N248" s="9" t="n">
        <f aca="false">IF($L248="","",MAX(0,ROUND((TIMEVALUE($J248)-TIMEVALUE($L248))*1440,0)))</f>
        <v>0</v>
      </c>
      <c r="O248" s="9" t="n">
        <f aca="false">IF(OR($K248="",$L248=""),0,ROUND(VLOOKUP($H248,DM_CA_LAM!$A$4:$F$6,6,FALSE())-$M248/60-$N248/60,2))</f>
        <v>7.45</v>
      </c>
      <c r="P248" s="9" t="s">
        <v>111</v>
      </c>
      <c r="Q248" s="9" t="n">
        <v>0</v>
      </c>
      <c r="R248" s="10"/>
      <c r="S248" s="10"/>
      <c r="T248" s="9" t="str">
        <f aca="false">$B248&amp;"_"&amp;TEXT($F248,"yyyymmdd")</f>
        <v>NV006_20260619</v>
      </c>
      <c r="U248" s="9" t="str">
        <f aca="false">VLOOKUP($P248,DM_TRANG_THAI!$A$4:$B$9,2,FALSE())</f>
        <v>L</v>
      </c>
    </row>
    <row r="249" customFormat="false" ht="15.75" hidden="false" customHeight="true" outlineLevel="0" collapsed="false">
      <c r="A249" s="9" t="n">
        <v>246</v>
      </c>
      <c r="B249" s="9" t="s">
        <v>47</v>
      </c>
      <c r="C249" s="10" t="str">
        <f aca="false">VLOOKUP($B249,DM_NHAN_VIEN!$B$4:$F$18,2,FALSE())</f>
        <v>Ngô Văn Tài</v>
      </c>
      <c r="D249" s="9" t="str">
        <f aca="false">VLOOKUP($B249,DM_NHAN_VIEN!$B$4:$F$18,3,FALSE())</f>
        <v>Hành chính</v>
      </c>
      <c r="E249" s="9" t="str">
        <f aca="false">VLOOKUP($B249,DM_NHAN_VIEN!$B$4:$F$18,4,FALSE())</f>
        <v>Phó phòng</v>
      </c>
      <c r="F249" s="18" t="n">
        <v>46192</v>
      </c>
      <c r="G249" s="9" t="str">
        <f aca="false">CHOOSE(WEEKDAY(F249,2),"Thứ Hai","Thứ Ba","Thứ Tư","Thứ Năm","Thứ Sáu","Thứ Bảy","Chủ Nhật")</f>
        <v>Thứ Sáu</v>
      </c>
      <c r="H249" s="9" t="str">
        <f aca="false">VLOOKUP($B249,DM_NHAN_VIEN!$B$4:$F$18,5,FALSE())</f>
        <v>Ca Hành Chính</v>
      </c>
      <c r="I249" s="9" t="str">
        <f aca="false">VLOOKUP($H249,DM_CA_LAM!$A$4:$C$6,2,FALSE())</f>
        <v>07:30</v>
      </c>
      <c r="J249" s="9" t="str">
        <f aca="false">VLOOKUP($H249,DM_CA_LAM!$A$4:$C$6,3,FALSE())</f>
        <v>17:30</v>
      </c>
      <c r="K249" s="9" t="s">
        <v>147</v>
      </c>
      <c r="L249" s="9" t="s">
        <v>149</v>
      </c>
      <c r="M249" s="9" t="n">
        <f aca="false">IF($K249="","",MAX(0,ROUND((TIMEVALUE($K249)-TIMEVALUE($I249))*1440,0)))</f>
        <v>0</v>
      </c>
      <c r="N249" s="9" t="n">
        <f aca="false">IF($L249="","",MAX(0,ROUND((TIMEVALUE($J249)-TIMEVALUE($L249))*1440,0)))</f>
        <v>0</v>
      </c>
      <c r="O249" s="9" t="n">
        <f aca="false">IF(OR($K249="",$L249=""),0,ROUND(VLOOKUP($H249,DM_CA_LAM!$A$4:$F$6,6,FALSE())-$M249/60-$N249/60,2))</f>
        <v>8</v>
      </c>
      <c r="P249" s="9" t="s">
        <v>108</v>
      </c>
      <c r="Q249" s="9" t="n">
        <v>0</v>
      </c>
      <c r="R249" s="10"/>
      <c r="S249" s="10"/>
      <c r="T249" s="9" t="str">
        <f aca="false">$B249&amp;"_"&amp;TEXT($F249,"yyyymmdd")</f>
        <v>NV007_20260619</v>
      </c>
      <c r="U249" s="9" t="str">
        <f aca="false">VLOOKUP($P249,DM_TRANG_THAI!$A$4:$B$9,2,FALSE())</f>
        <v>P</v>
      </c>
    </row>
    <row r="250" customFormat="false" ht="15.75" hidden="false" customHeight="true" outlineLevel="0" collapsed="false">
      <c r="A250" s="9" t="n">
        <v>247</v>
      </c>
      <c r="B250" s="9" t="s">
        <v>51</v>
      </c>
      <c r="C250" s="10" t="str">
        <f aca="false">VLOOKUP($B250,DM_NHAN_VIEN!$B$4:$F$18,2,FALSE())</f>
        <v>Vũ Thị Nga</v>
      </c>
      <c r="D250" s="9" t="str">
        <f aca="false">VLOOKUP($B250,DM_NHAN_VIEN!$B$4:$F$18,3,FALSE())</f>
        <v>Hành chính</v>
      </c>
      <c r="E250" s="9" t="str">
        <f aca="false">VLOOKUP($B250,DM_NHAN_VIEN!$B$4:$F$18,4,FALSE())</f>
        <v>Chuyên viên</v>
      </c>
      <c r="F250" s="18" t="n">
        <v>46192</v>
      </c>
      <c r="G250" s="9" t="str">
        <f aca="false">CHOOSE(WEEKDAY(F250,2),"Thứ Hai","Thứ Ba","Thứ Tư","Thứ Năm","Thứ Sáu","Thứ Bảy","Chủ Nhật")</f>
        <v>Thứ Sáu</v>
      </c>
      <c r="H250" s="9" t="str">
        <f aca="false">VLOOKUP($B250,DM_NHAN_VIEN!$B$4:$F$18,5,FALSE())</f>
        <v>Ca Hành Chính</v>
      </c>
      <c r="I250" s="9" t="str">
        <f aca="false">VLOOKUP($H250,DM_CA_LAM!$A$4:$C$6,2,FALSE())</f>
        <v>07:30</v>
      </c>
      <c r="J250" s="9" t="str">
        <f aca="false">VLOOKUP($H250,DM_CA_LAM!$A$4:$C$6,3,FALSE())</f>
        <v>17:30</v>
      </c>
      <c r="K250" s="9" t="s">
        <v>156</v>
      </c>
      <c r="L250" s="9" t="s">
        <v>149</v>
      </c>
      <c r="M250" s="9" t="n">
        <f aca="false">IF($K250="","",MAX(0,ROUND((TIMEVALUE($K250)-TIMEVALUE($I250))*1440,0)))</f>
        <v>0</v>
      </c>
      <c r="N250" s="9" t="n">
        <f aca="false">IF($L250="","",MAX(0,ROUND((TIMEVALUE($J250)-TIMEVALUE($L250))*1440,0)))</f>
        <v>0</v>
      </c>
      <c r="O250" s="9" t="n">
        <f aca="false">IF(OR($K250="",$L250=""),0,ROUND(VLOOKUP($H250,DM_CA_LAM!$A$4:$F$6,6,FALSE())-$M250/60-$N250/60,2))</f>
        <v>8</v>
      </c>
      <c r="P250" s="9" t="s">
        <v>108</v>
      </c>
      <c r="Q250" s="9" t="n">
        <v>0</v>
      </c>
      <c r="R250" s="10"/>
      <c r="S250" s="10"/>
      <c r="T250" s="9" t="str">
        <f aca="false">$B250&amp;"_"&amp;TEXT($F250,"yyyymmdd")</f>
        <v>NV008_20260619</v>
      </c>
      <c r="U250" s="9" t="str">
        <f aca="false">VLOOKUP($P250,DM_TRANG_THAI!$A$4:$B$9,2,FALSE())</f>
        <v>P</v>
      </c>
    </row>
    <row r="251" customFormat="false" ht="15.75" hidden="false" customHeight="true" outlineLevel="0" collapsed="false">
      <c r="A251" s="9" t="n">
        <v>248</v>
      </c>
      <c r="B251" s="9" t="s">
        <v>55</v>
      </c>
      <c r="C251" s="10" t="str">
        <f aca="false">VLOOKUP($B251,DM_NHAN_VIEN!$B$4:$F$18,2,FALSE())</f>
        <v>Đặng Thị Hồng</v>
      </c>
      <c r="D251" s="9" t="str">
        <f aca="false">VLOOKUP($B251,DM_NHAN_VIEN!$B$4:$F$18,3,FALSE())</f>
        <v>Nhân sự</v>
      </c>
      <c r="E251" s="9" t="str">
        <f aca="false">VLOOKUP($B251,DM_NHAN_VIEN!$B$4:$F$18,4,FALSE())</f>
        <v>Chuyên viên</v>
      </c>
      <c r="F251" s="18" t="n">
        <v>46192</v>
      </c>
      <c r="G251" s="9" t="str">
        <f aca="false">CHOOSE(WEEKDAY(F251,2),"Thứ Hai","Thứ Ba","Thứ Tư","Thứ Năm","Thứ Sáu","Thứ Bảy","Chủ Nhật")</f>
        <v>Thứ Sáu</v>
      </c>
      <c r="H251" s="9" t="str">
        <f aca="false">VLOOKUP($B251,DM_NHAN_VIEN!$B$4:$F$18,5,FALSE())</f>
        <v>Ca Hành Chính</v>
      </c>
      <c r="I251" s="9" t="str">
        <f aca="false">VLOOKUP($H251,DM_CA_LAM!$A$4:$C$6,2,FALSE())</f>
        <v>07:30</v>
      </c>
      <c r="J251" s="9" t="str">
        <f aca="false">VLOOKUP($H251,DM_CA_LAM!$A$4:$C$6,3,FALSE())</f>
        <v>17:30</v>
      </c>
      <c r="K251" s="9" t="s">
        <v>160</v>
      </c>
      <c r="L251" s="9" t="s">
        <v>164</v>
      </c>
      <c r="M251" s="9" t="n">
        <f aca="false">IF($K251="","",MAX(0,ROUND((TIMEVALUE($K251)-TIMEVALUE($I251))*1440,0)))</f>
        <v>0</v>
      </c>
      <c r="N251" s="9" t="n">
        <f aca="false">IF($L251="","",MAX(0,ROUND((TIMEVALUE($J251)-TIMEVALUE($L251))*1440,0)))</f>
        <v>0</v>
      </c>
      <c r="O251" s="9" t="n">
        <f aca="false">IF(OR($K251="",$L251=""),0,ROUND(VLOOKUP($H251,DM_CA_LAM!$A$4:$F$6,6,FALSE())-$M251/60-$N251/60,2))</f>
        <v>8</v>
      </c>
      <c r="P251" s="9" t="s">
        <v>108</v>
      </c>
      <c r="Q251" s="9" t="n">
        <v>0</v>
      </c>
      <c r="R251" s="10"/>
      <c r="S251" s="10"/>
      <c r="T251" s="9" t="str">
        <f aca="false">$B251&amp;"_"&amp;TEXT($F251,"yyyymmdd")</f>
        <v>NV010_20260619</v>
      </c>
      <c r="U251" s="9" t="str">
        <f aca="false">VLOOKUP($P251,DM_TRANG_THAI!$A$4:$B$9,2,FALSE())</f>
        <v>P</v>
      </c>
    </row>
    <row r="252" customFormat="false" ht="15.75" hidden="false" customHeight="true" outlineLevel="0" collapsed="false">
      <c r="A252" s="9" t="n">
        <v>249</v>
      </c>
      <c r="B252" s="9" t="s">
        <v>58</v>
      </c>
      <c r="C252" s="10" t="str">
        <f aca="false">VLOOKUP($B252,DM_NHAN_VIEN!$B$4:$F$18,2,FALSE())</f>
        <v>Chu Văn Minh</v>
      </c>
      <c r="D252" s="9" t="str">
        <f aca="false">VLOOKUP($B252,DM_NHAN_VIEN!$B$4:$F$18,3,FALSE())</f>
        <v>Nhân sự</v>
      </c>
      <c r="E252" s="9" t="str">
        <f aca="false">VLOOKUP($B252,DM_NHAN_VIEN!$B$4:$F$18,4,FALSE())</f>
        <v>Chuyên viên</v>
      </c>
      <c r="F252" s="18" t="n">
        <v>46192</v>
      </c>
      <c r="G252" s="9" t="str">
        <f aca="false">CHOOSE(WEEKDAY(F252,2),"Thứ Hai","Thứ Ba","Thứ Tư","Thứ Năm","Thứ Sáu","Thứ Bảy","Chủ Nhật")</f>
        <v>Thứ Sáu</v>
      </c>
      <c r="H252" s="9" t="str">
        <f aca="false">VLOOKUP($B252,DM_NHAN_VIEN!$B$4:$F$18,5,FALSE())</f>
        <v>Ca Hành Chính</v>
      </c>
      <c r="I252" s="9" t="str">
        <f aca="false">VLOOKUP($H252,DM_CA_LAM!$A$4:$C$6,2,FALSE())</f>
        <v>07:30</v>
      </c>
      <c r="J252" s="9" t="str">
        <f aca="false">VLOOKUP($H252,DM_CA_LAM!$A$4:$C$6,3,FALSE())</f>
        <v>17:30</v>
      </c>
      <c r="K252" s="9" t="s">
        <v>167</v>
      </c>
      <c r="L252" s="9" t="s">
        <v>183</v>
      </c>
      <c r="M252" s="9" t="n">
        <f aca="false">IF($K252="","",MAX(0,ROUND((TIMEVALUE($K252)-TIMEVALUE($I252))*1440,0)))</f>
        <v>0</v>
      </c>
      <c r="N252" s="9" t="n">
        <f aca="false">IF($L252="","",MAX(0,ROUND((TIMEVALUE($J252)-TIMEVALUE($L252))*1440,0)))</f>
        <v>0</v>
      </c>
      <c r="O252" s="9" t="n">
        <f aca="false">IF(OR($K252="",$L252=""),0,ROUND(VLOOKUP($H252,DM_CA_LAM!$A$4:$F$6,6,FALSE())-$M252/60-$N252/60,2))</f>
        <v>8</v>
      </c>
      <c r="P252" s="9" t="s">
        <v>108</v>
      </c>
      <c r="Q252" s="9" t="n">
        <v>0</v>
      </c>
      <c r="R252" s="10"/>
      <c r="S252" s="10"/>
      <c r="T252" s="9" t="str">
        <f aca="false">$B252&amp;"_"&amp;TEXT($F252,"yyyymmdd")</f>
        <v>NV011_20260619</v>
      </c>
      <c r="U252" s="9" t="str">
        <f aca="false">VLOOKUP($P252,DM_TRANG_THAI!$A$4:$B$9,2,FALSE())</f>
        <v>P</v>
      </c>
    </row>
    <row r="253" customFormat="false" ht="15.75" hidden="false" customHeight="true" outlineLevel="0" collapsed="false">
      <c r="A253" s="9" t="n">
        <v>250</v>
      </c>
      <c r="B253" s="9" t="s">
        <v>61</v>
      </c>
      <c r="C253" s="10" t="str">
        <f aca="false">VLOOKUP($B253,DM_NHAN_VIEN!$B$4:$F$18,2,FALSE())</f>
        <v>Phan Thị Khánh</v>
      </c>
      <c r="D253" s="9" t="str">
        <f aca="false">VLOOKUP($B253,DM_NHAN_VIEN!$B$4:$F$18,3,FALSE())</f>
        <v>Kế toán</v>
      </c>
      <c r="E253" s="9" t="str">
        <f aca="false">VLOOKUP($B253,DM_NHAN_VIEN!$B$4:$F$18,4,FALSE())</f>
        <v>Trưởng phòng</v>
      </c>
      <c r="F253" s="18" t="n">
        <v>46192</v>
      </c>
      <c r="G253" s="9" t="str">
        <f aca="false">CHOOSE(WEEKDAY(F253,2),"Thứ Hai","Thứ Ba","Thứ Tư","Thứ Năm","Thứ Sáu","Thứ Bảy","Chủ Nhật")</f>
        <v>Thứ Sáu</v>
      </c>
      <c r="H253" s="9" t="str">
        <f aca="false">VLOOKUP($B253,DM_NHAN_VIEN!$B$4:$F$18,5,FALSE())</f>
        <v>Ca Hành Chính</v>
      </c>
      <c r="I253" s="9" t="str">
        <f aca="false">VLOOKUP($H253,DM_CA_LAM!$A$4:$C$6,2,FALSE())</f>
        <v>07:30</v>
      </c>
      <c r="J253" s="9" t="str">
        <f aca="false">VLOOKUP($H253,DM_CA_LAM!$A$4:$C$6,3,FALSE())</f>
        <v>17:30</v>
      </c>
      <c r="K253" s="9" t="s">
        <v>161</v>
      </c>
      <c r="L253" s="9" t="s">
        <v>166</v>
      </c>
      <c r="M253" s="9" t="n">
        <f aca="false">IF($K253="","",MAX(0,ROUND((TIMEVALUE($K253)-TIMEVALUE($I253))*1440,0)))</f>
        <v>0</v>
      </c>
      <c r="N253" s="9" t="n">
        <f aca="false">IF($L253="","",MAX(0,ROUND((TIMEVALUE($J253)-TIMEVALUE($L253))*1440,0)))</f>
        <v>0</v>
      </c>
      <c r="O253" s="9" t="n">
        <f aca="false">IF(OR($K253="",$L253=""),0,ROUND(VLOOKUP($H253,DM_CA_LAM!$A$4:$F$6,6,FALSE())-$M253/60-$N253/60,2))</f>
        <v>8</v>
      </c>
      <c r="P253" s="9" t="s">
        <v>108</v>
      </c>
      <c r="Q253" s="9" t="n">
        <v>0</v>
      </c>
      <c r="R253" s="10"/>
      <c r="S253" s="10"/>
      <c r="T253" s="9" t="str">
        <f aca="false">$B253&amp;"_"&amp;TEXT($F253,"yyyymmdd")</f>
        <v>NV014_20260619</v>
      </c>
      <c r="U253" s="9" t="str">
        <f aca="false">VLOOKUP($P253,DM_TRANG_THAI!$A$4:$B$9,2,FALSE())</f>
        <v>P</v>
      </c>
    </row>
    <row r="254" customFormat="false" ht="15.75" hidden="false" customHeight="true" outlineLevel="0" collapsed="false">
      <c r="A254" s="9" t="n">
        <v>251</v>
      </c>
      <c r="B254" s="9" t="s">
        <v>65</v>
      </c>
      <c r="C254" s="10" t="str">
        <f aca="false">VLOOKUP($B254,DM_NHAN_VIEN!$B$4:$F$18,2,FALSE())</f>
        <v>Trịnh Văn Hùng</v>
      </c>
      <c r="D254" s="9" t="str">
        <f aca="false">VLOOKUP($B254,DM_NHAN_VIEN!$B$4:$F$18,3,FALSE())</f>
        <v>Kế toán</v>
      </c>
      <c r="E254" s="9" t="str">
        <f aca="false">VLOOKUP($B254,DM_NHAN_VIEN!$B$4:$F$18,4,FALSE())</f>
        <v>Phó phòng</v>
      </c>
      <c r="F254" s="18" t="n">
        <v>46192</v>
      </c>
      <c r="G254" s="9" t="str">
        <f aca="false">CHOOSE(WEEKDAY(F254,2),"Thứ Hai","Thứ Ba","Thứ Tư","Thứ Năm","Thứ Sáu","Thứ Bảy","Chủ Nhật")</f>
        <v>Thứ Sáu</v>
      </c>
      <c r="H254" s="9" t="str">
        <f aca="false">VLOOKUP($B254,DM_NHAN_VIEN!$B$4:$F$18,5,FALSE())</f>
        <v>Ca Hành Chính</v>
      </c>
      <c r="I254" s="9" t="str">
        <f aca="false">VLOOKUP($H254,DM_CA_LAM!$A$4:$C$6,2,FALSE())</f>
        <v>07:30</v>
      </c>
      <c r="J254" s="9" t="str">
        <f aca="false">VLOOKUP($H254,DM_CA_LAM!$A$4:$C$6,3,FALSE())</f>
        <v>17:30</v>
      </c>
      <c r="K254" s="9" t="s">
        <v>167</v>
      </c>
      <c r="L254" s="9" t="s">
        <v>162</v>
      </c>
      <c r="M254" s="9" t="n">
        <f aca="false">IF($K254="","",MAX(0,ROUND((TIMEVALUE($K254)-TIMEVALUE($I254))*1440,0)))</f>
        <v>0</v>
      </c>
      <c r="N254" s="9" t="n">
        <f aca="false">IF($L254="","",MAX(0,ROUND((TIMEVALUE($J254)-TIMEVALUE($L254))*1440,0)))</f>
        <v>0</v>
      </c>
      <c r="O254" s="9" t="n">
        <f aca="false">IF(OR($K254="",$L254=""),0,ROUND(VLOOKUP($H254,DM_CA_LAM!$A$4:$F$6,6,FALSE())-$M254/60-$N254/60,2))</f>
        <v>8</v>
      </c>
      <c r="P254" s="9" t="s">
        <v>108</v>
      </c>
      <c r="Q254" s="9" t="n">
        <v>0</v>
      </c>
      <c r="R254" s="10"/>
      <c r="S254" s="10"/>
      <c r="T254" s="9" t="str">
        <f aca="false">$B254&amp;"_"&amp;TEXT($F254,"yyyymmdd")</f>
        <v>NV015_20260619</v>
      </c>
      <c r="U254" s="9" t="str">
        <f aca="false">VLOOKUP($P254,DM_TRANG_THAI!$A$4:$B$9,2,FALSE())</f>
        <v>P</v>
      </c>
    </row>
    <row r="255" customFormat="false" ht="15.75" hidden="false" customHeight="true" outlineLevel="0" collapsed="false">
      <c r="A255" s="9" t="n">
        <v>252</v>
      </c>
      <c r="B255" s="9" t="s">
        <v>68</v>
      </c>
      <c r="C255" s="10" t="str">
        <f aca="false">VLOOKUP($B255,DM_NHAN_VIEN!$B$4:$F$18,2,FALSE())</f>
        <v>Hoàng Văn Lộc</v>
      </c>
      <c r="D255" s="9" t="str">
        <f aca="false">VLOOKUP($B255,DM_NHAN_VIEN!$B$4:$F$18,3,FALSE())</f>
        <v>Kinh doanh</v>
      </c>
      <c r="E255" s="9" t="str">
        <f aca="false">VLOOKUP($B255,DM_NHAN_VIEN!$B$4:$F$18,4,FALSE())</f>
        <v>Trưởng phòng</v>
      </c>
      <c r="F255" s="18" t="n">
        <v>46192</v>
      </c>
      <c r="G255" s="9" t="str">
        <f aca="false">CHOOSE(WEEKDAY(F255,2),"Thứ Hai","Thứ Ba","Thứ Tư","Thứ Năm","Thứ Sáu","Thứ Bảy","Chủ Nhật")</f>
        <v>Thứ Sáu</v>
      </c>
      <c r="H255" s="9" t="str">
        <f aca="false">VLOOKUP($B255,DM_NHAN_VIEN!$B$4:$F$18,5,FALSE())</f>
        <v>Ca Hành Chính</v>
      </c>
      <c r="I255" s="9" t="str">
        <f aca="false">VLOOKUP($H255,DM_CA_LAM!$A$4:$C$6,2,FALSE())</f>
        <v>07:30</v>
      </c>
      <c r="J255" s="9" t="str">
        <f aca="false">VLOOKUP($H255,DM_CA_LAM!$A$4:$C$6,3,FALSE())</f>
        <v>17:30</v>
      </c>
      <c r="K255" s="9" t="s">
        <v>92</v>
      </c>
      <c r="L255" s="9" t="s">
        <v>163</v>
      </c>
      <c r="M255" s="9" t="n">
        <f aca="false">IF($K255="","",MAX(0,ROUND((TIMEVALUE($K255)-TIMEVALUE($I255))*1440,0)))</f>
        <v>0</v>
      </c>
      <c r="N255" s="9" t="n">
        <f aca="false">IF($L255="","",MAX(0,ROUND((TIMEVALUE($J255)-TIMEVALUE($L255))*1440,0)))</f>
        <v>0</v>
      </c>
      <c r="O255" s="9" t="n">
        <f aca="false">IF(OR($K255="",$L255=""),0,ROUND(VLOOKUP($H255,DM_CA_LAM!$A$4:$F$6,6,FALSE())-$M255/60-$N255/60,2))</f>
        <v>8</v>
      </c>
      <c r="P255" s="9" t="s">
        <v>108</v>
      </c>
      <c r="Q255" s="9" t="n">
        <v>0</v>
      </c>
      <c r="R255" s="10"/>
      <c r="S255" s="10"/>
      <c r="T255" s="9" t="str">
        <f aca="false">$B255&amp;"_"&amp;TEXT($F255,"yyyymmdd")</f>
        <v>NV019_20260619</v>
      </c>
      <c r="U255" s="9" t="str">
        <f aca="false">VLOOKUP($P255,DM_TRANG_THAI!$A$4:$B$9,2,FALSE())</f>
        <v>P</v>
      </c>
    </row>
    <row r="256" customFormat="false" ht="15.75" hidden="false" customHeight="true" outlineLevel="0" collapsed="false">
      <c r="A256" s="9" t="n">
        <v>253</v>
      </c>
      <c r="B256" s="9" t="s">
        <v>72</v>
      </c>
      <c r="C256" s="10" t="str">
        <f aca="false">VLOOKUP($B256,DM_NHAN_VIEN!$B$4:$F$18,2,FALSE())</f>
        <v>Nguyễn Văn Phú</v>
      </c>
      <c r="D256" s="9" t="str">
        <f aca="false">VLOOKUP($B256,DM_NHAN_VIEN!$B$4:$F$18,3,FALSE())</f>
        <v>Kinh doanh</v>
      </c>
      <c r="E256" s="9" t="str">
        <f aca="false">VLOOKUP($B256,DM_NHAN_VIEN!$B$4:$F$18,4,FALSE())</f>
        <v>Nhân viên</v>
      </c>
      <c r="F256" s="18" t="n">
        <v>46192</v>
      </c>
      <c r="G256" s="9" t="str">
        <f aca="false">CHOOSE(WEEKDAY(F256,2),"Thứ Hai","Thứ Ba","Thứ Tư","Thứ Năm","Thứ Sáu","Thứ Bảy","Chủ Nhật")</f>
        <v>Thứ Sáu</v>
      </c>
      <c r="H256" s="9" t="str">
        <f aca="false">VLOOKUP($B256,DM_NHAN_VIEN!$B$4:$F$18,5,FALSE())</f>
        <v>Ca Hành Chính</v>
      </c>
      <c r="I256" s="9" t="str">
        <f aca="false">VLOOKUP($H256,DM_CA_LAM!$A$4:$C$6,2,FALSE())</f>
        <v>07:30</v>
      </c>
      <c r="J256" s="9" t="str">
        <f aca="false">VLOOKUP($H256,DM_CA_LAM!$A$4:$C$6,3,FALSE())</f>
        <v>17:30</v>
      </c>
      <c r="K256" s="9" t="s">
        <v>161</v>
      </c>
      <c r="L256" s="9" t="s">
        <v>146</v>
      </c>
      <c r="M256" s="9" t="n">
        <f aca="false">IF($K256="","",MAX(0,ROUND((TIMEVALUE($K256)-TIMEVALUE($I256))*1440,0)))</f>
        <v>0</v>
      </c>
      <c r="N256" s="9" t="n">
        <f aca="false">IF($L256="","",MAX(0,ROUND((TIMEVALUE($J256)-TIMEVALUE($L256))*1440,0)))</f>
        <v>0</v>
      </c>
      <c r="O256" s="9" t="n">
        <f aca="false">IF(OR($K256="",$L256=""),0,ROUND(VLOOKUP($H256,DM_CA_LAM!$A$4:$F$6,6,FALSE())-$M256/60-$N256/60,2))</f>
        <v>8</v>
      </c>
      <c r="P256" s="9" t="s">
        <v>108</v>
      </c>
      <c r="Q256" s="9" t="n">
        <v>0</v>
      </c>
      <c r="R256" s="10"/>
      <c r="S256" s="10"/>
      <c r="T256" s="9" t="str">
        <f aca="false">$B256&amp;"_"&amp;TEXT($F256,"yyyymmdd")</f>
        <v>NV021_20260619</v>
      </c>
      <c r="U256" s="9" t="str">
        <f aca="false">VLOOKUP($P256,DM_TRANG_THAI!$A$4:$B$9,2,FALSE())</f>
        <v>P</v>
      </c>
    </row>
    <row r="257" customFormat="false" ht="15.75" hidden="false" customHeight="true" outlineLevel="0" collapsed="false">
      <c r="A257" s="9" t="n">
        <v>254</v>
      </c>
      <c r="B257" s="9" t="s">
        <v>76</v>
      </c>
      <c r="C257" s="10" t="str">
        <f aca="false">VLOOKUP($B257,DM_NHAN_VIEN!$B$4:$F$18,2,FALSE())</f>
        <v>Lý Văn Dũng</v>
      </c>
      <c r="D257" s="9" t="str">
        <f aca="false">VLOOKUP($B257,DM_NHAN_VIEN!$B$4:$F$18,3,FALSE())</f>
        <v>Xưởng sản xuất</v>
      </c>
      <c r="E257" s="9" t="str">
        <f aca="false">VLOOKUP($B257,DM_NHAN_VIEN!$B$4:$F$18,4,FALSE())</f>
        <v>Tổ trưởng</v>
      </c>
      <c r="F257" s="18" t="n">
        <v>46192</v>
      </c>
      <c r="G257" s="9" t="str">
        <f aca="false">CHOOSE(WEEKDAY(F257,2),"Thứ Hai","Thứ Ba","Thứ Tư","Thứ Năm","Thứ Sáu","Thứ Bảy","Chủ Nhật")</f>
        <v>Thứ Sáu</v>
      </c>
      <c r="H257" s="9" t="str">
        <f aca="false">VLOOKUP($B257,DM_NHAN_VIEN!$B$4:$F$18,5,FALSE())</f>
        <v>Ca Hành Chính</v>
      </c>
      <c r="I257" s="9" t="str">
        <f aca="false">VLOOKUP($H257,DM_CA_LAM!$A$4:$C$6,2,FALSE())</f>
        <v>07:30</v>
      </c>
      <c r="J257" s="9" t="str">
        <f aca="false">VLOOKUP($H257,DM_CA_LAM!$A$4:$C$6,3,FALSE())</f>
        <v>17:30</v>
      </c>
      <c r="K257" s="9" t="s">
        <v>156</v>
      </c>
      <c r="L257" s="9" t="s">
        <v>146</v>
      </c>
      <c r="M257" s="9" t="n">
        <f aca="false">IF($K257="","",MAX(0,ROUND((TIMEVALUE($K257)-TIMEVALUE($I257))*1440,0)))</f>
        <v>0</v>
      </c>
      <c r="N257" s="9" t="n">
        <f aca="false">IF($L257="","",MAX(0,ROUND((TIMEVALUE($J257)-TIMEVALUE($L257))*1440,0)))</f>
        <v>0</v>
      </c>
      <c r="O257" s="9" t="n">
        <f aca="false">IF(OR($K257="",$L257=""),0,ROUND(VLOOKUP($H257,DM_CA_LAM!$A$4:$F$6,6,FALSE())-$M257/60-$N257/60,2))</f>
        <v>8</v>
      </c>
      <c r="P257" s="9" t="s">
        <v>108</v>
      </c>
      <c r="Q257" s="9" t="n">
        <v>0</v>
      </c>
      <c r="R257" s="10"/>
      <c r="S257" s="10"/>
      <c r="T257" s="9" t="str">
        <f aca="false">$B257&amp;"_"&amp;TEXT($F257,"yyyymmdd")</f>
        <v>NV029_20260619</v>
      </c>
      <c r="U257" s="9" t="str">
        <f aca="false">VLOOKUP($P257,DM_TRANG_THAI!$A$4:$B$9,2,FALSE())</f>
        <v>P</v>
      </c>
    </row>
    <row r="258" customFormat="false" ht="15.75" hidden="false" customHeight="true" outlineLevel="0" collapsed="false">
      <c r="A258" s="9" t="n">
        <v>255</v>
      </c>
      <c r="B258" s="9" t="s">
        <v>80</v>
      </c>
      <c r="C258" s="10" t="str">
        <f aca="false">VLOOKUP($B258,DM_NHAN_VIEN!$B$4:$F$18,2,FALSE())</f>
        <v>Tống Văn Thắng</v>
      </c>
      <c r="D258" s="9" t="str">
        <f aca="false">VLOOKUP($B258,DM_NHAN_VIEN!$B$4:$F$18,3,FALSE())</f>
        <v>Xưởng sản xuất</v>
      </c>
      <c r="E258" s="9" t="str">
        <f aca="false">VLOOKUP($B258,DM_NHAN_VIEN!$B$4:$F$18,4,FALSE())</f>
        <v>Tổ trưởng</v>
      </c>
      <c r="F258" s="18" t="n">
        <v>46192</v>
      </c>
      <c r="G258" s="9" t="str">
        <f aca="false">CHOOSE(WEEKDAY(F258,2),"Thứ Hai","Thứ Ba","Thứ Tư","Thứ Năm","Thứ Sáu","Thứ Bảy","Chủ Nhật")</f>
        <v>Thứ Sáu</v>
      </c>
      <c r="H258" s="9" t="str">
        <f aca="false">VLOOKUP($B258,DM_NHAN_VIEN!$B$4:$F$18,5,FALSE())</f>
        <v>Ca Hành Chính</v>
      </c>
      <c r="I258" s="9" t="str">
        <f aca="false">VLOOKUP($H258,DM_CA_LAM!$A$4:$C$6,2,FALSE())</f>
        <v>07:30</v>
      </c>
      <c r="J258" s="9" t="str">
        <f aca="false">VLOOKUP($H258,DM_CA_LAM!$A$4:$C$6,3,FALSE())</f>
        <v>17:30</v>
      </c>
      <c r="K258" s="9" t="s">
        <v>167</v>
      </c>
      <c r="L258" s="9" t="s">
        <v>162</v>
      </c>
      <c r="M258" s="9" t="n">
        <f aca="false">IF($K258="","",MAX(0,ROUND((TIMEVALUE($K258)-TIMEVALUE($I258))*1440,0)))</f>
        <v>0</v>
      </c>
      <c r="N258" s="9" t="n">
        <f aca="false">IF($L258="","",MAX(0,ROUND((TIMEVALUE($J258)-TIMEVALUE($L258))*1440,0)))</f>
        <v>0</v>
      </c>
      <c r="O258" s="9" t="n">
        <f aca="false">IF(OR($K258="",$L258=""),0,ROUND(VLOOKUP($H258,DM_CA_LAM!$A$4:$F$6,6,FALSE())-$M258/60-$N258/60,2))</f>
        <v>8</v>
      </c>
      <c r="P258" s="9" t="s">
        <v>108</v>
      </c>
      <c r="Q258" s="9" t="n">
        <v>2.5</v>
      </c>
      <c r="R258" s="10" t="s">
        <v>184</v>
      </c>
      <c r="S258" s="10"/>
      <c r="T258" s="9" t="str">
        <f aca="false">$B258&amp;"_"&amp;TEXT($F258,"yyyymmdd")</f>
        <v>NV030_20260619</v>
      </c>
      <c r="U258" s="9" t="str">
        <f aca="false">VLOOKUP($P258,DM_TRANG_THAI!$A$4:$B$9,2,FALSE())</f>
        <v>P</v>
      </c>
    </row>
    <row r="259" customFormat="false" ht="15.75" hidden="false" customHeight="true" outlineLevel="0" collapsed="false">
      <c r="A259" s="9" t="n">
        <v>256</v>
      </c>
      <c r="B259" s="9" t="s">
        <v>24</v>
      </c>
      <c r="C259" s="10" t="str">
        <f aca="false">VLOOKUP($B259,DM_NHAN_VIEN!$B$4:$F$18,2,FALSE())</f>
        <v>Nguyễn Văn Giám Đốc</v>
      </c>
      <c r="D259" s="9" t="str">
        <f aca="false">VLOOKUP($B259,DM_NHAN_VIEN!$B$4:$F$18,3,FALSE())</f>
        <v>Hành chính</v>
      </c>
      <c r="E259" s="9" t="str">
        <f aca="false">VLOOKUP($B259,DM_NHAN_VIEN!$B$4:$F$18,4,FALSE())</f>
        <v>Giám đốc</v>
      </c>
      <c r="F259" s="18" t="n">
        <v>46193</v>
      </c>
      <c r="G259" s="9" t="str">
        <f aca="false">CHOOSE(WEEKDAY(F259,2),"Thứ Hai","Thứ Ba","Thứ Tư","Thứ Năm","Thứ Sáu","Thứ Bảy","Chủ Nhật")</f>
        <v>Thứ Bảy</v>
      </c>
      <c r="H259" s="9" t="str">
        <f aca="false">VLOOKUP($B259,DM_NHAN_VIEN!$B$4:$F$18,5,FALSE())</f>
        <v>Ca Hành Chính</v>
      </c>
      <c r="I259" s="9" t="str">
        <f aca="false">VLOOKUP($H259,DM_CA_LAM!$A$4:$C$6,2,FALSE())</f>
        <v>07:30</v>
      </c>
      <c r="J259" s="9" t="str">
        <f aca="false">VLOOKUP($H259,DM_CA_LAM!$A$4:$C$6,3,FALSE())</f>
        <v>17:30</v>
      </c>
      <c r="K259" s="9" t="s">
        <v>92</v>
      </c>
      <c r="L259" s="9" t="s">
        <v>166</v>
      </c>
      <c r="M259" s="9" t="n">
        <f aca="false">IF($K259="","",MAX(0,ROUND((TIMEVALUE($K259)-TIMEVALUE($I259))*1440,0)))</f>
        <v>0</v>
      </c>
      <c r="N259" s="9" t="n">
        <f aca="false">IF($L259="","",MAX(0,ROUND((TIMEVALUE($J259)-TIMEVALUE($L259))*1440,0)))</f>
        <v>0</v>
      </c>
      <c r="O259" s="9" t="n">
        <f aca="false">IF(OR($K259="",$L259=""),0,ROUND(VLOOKUP($H259,DM_CA_LAM!$A$4:$F$6,6,FALSE())-$M259/60-$N259/60,2))</f>
        <v>8</v>
      </c>
      <c r="P259" s="9" t="s">
        <v>108</v>
      </c>
      <c r="Q259" s="9" t="n">
        <v>0</v>
      </c>
      <c r="R259" s="10"/>
      <c r="S259" s="10"/>
      <c r="T259" s="9" t="str">
        <f aca="false">$B259&amp;"_"&amp;TEXT($F259,"yyyymmdd")</f>
        <v>NV002_20260620</v>
      </c>
      <c r="U259" s="9" t="str">
        <f aca="false">VLOOKUP($P259,DM_TRANG_THAI!$A$4:$B$9,2,FALSE())</f>
        <v>P</v>
      </c>
    </row>
    <row r="260" customFormat="false" ht="15.75" hidden="false" customHeight="true" outlineLevel="0" collapsed="false">
      <c r="A260" s="9" t="n">
        <v>257</v>
      </c>
      <c r="B260" s="9" t="s">
        <v>30</v>
      </c>
      <c r="C260" s="10" t="str">
        <f aca="false">VLOOKUP($B260,DM_NHAN_VIEN!$B$4:$F$18,2,FALSE())</f>
        <v>Trần Thị Nhân Sự</v>
      </c>
      <c r="D260" s="9" t="str">
        <f aca="false">VLOOKUP($B260,DM_NHAN_VIEN!$B$4:$F$18,3,FALSE())</f>
        <v>Nhân sự</v>
      </c>
      <c r="E260" s="9" t="str">
        <f aca="false">VLOOKUP($B260,DM_NHAN_VIEN!$B$4:$F$18,4,FALSE())</f>
        <v>Trưởng phòng</v>
      </c>
      <c r="F260" s="18" t="n">
        <v>46193</v>
      </c>
      <c r="G260" s="9" t="str">
        <f aca="false">CHOOSE(WEEKDAY(F260,2),"Thứ Hai","Thứ Ba","Thứ Tư","Thứ Năm","Thứ Sáu","Thứ Bảy","Chủ Nhật")</f>
        <v>Thứ Bảy</v>
      </c>
      <c r="H260" s="9" t="str">
        <f aca="false">VLOOKUP($B260,DM_NHAN_VIEN!$B$4:$F$18,5,FALSE())</f>
        <v>Ca Hành Chính</v>
      </c>
      <c r="I260" s="9" t="str">
        <f aca="false">VLOOKUP($H260,DM_CA_LAM!$A$4:$C$6,2,FALSE())</f>
        <v>07:30</v>
      </c>
      <c r="J260" s="9" t="str">
        <f aca="false">VLOOKUP($H260,DM_CA_LAM!$A$4:$C$6,3,FALSE())</f>
        <v>17:30</v>
      </c>
      <c r="K260" s="9" t="s">
        <v>160</v>
      </c>
      <c r="L260" s="9" t="s">
        <v>166</v>
      </c>
      <c r="M260" s="9" t="n">
        <f aca="false">IF($K260="","",MAX(0,ROUND((TIMEVALUE($K260)-TIMEVALUE($I260))*1440,0)))</f>
        <v>0</v>
      </c>
      <c r="N260" s="9" t="n">
        <f aca="false">IF($L260="","",MAX(0,ROUND((TIMEVALUE($J260)-TIMEVALUE($L260))*1440,0)))</f>
        <v>0</v>
      </c>
      <c r="O260" s="9" t="n">
        <f aca="false">IF(OR($K260="",$L260=""),0,ROUND(VLOOKUP($H260,DM_CA_LAM!$A$4:$F$6,6,FALSE())-$M260/60-$N260/60,2))</f>
        <v>8</v>
      </c>
      <c r="P260" s="9" t="s">
        <v>108</v>
      </c>
      <c r="Q260" s="9" t="n">
        <v>0</v>
      </c>
      <c r="R260" s="10"/>
      <c r="S260" s="10"/>
      <c r="T260" s="9" t="str">
        <f aca="false">$B260&amp;"_"&amp;TEXT($F260,"yyyymmdd")</f>
        <v>NV003_20260620</v>
      </c>
      <c r="U260" s="9" t="str">
        <f aca="false">VLOOKUP($P260,DM_TRANG_THAI!$A$4:$B$9,2,FALSE())</f>
        <v>P</v>
      </c>
    </row>
    <row r="261" customFormat="false" ht="15.75" hidden="false" customHeight="true" outlineLevel="0" collapsed="false">
      <c r="A261" s="9" t="n">
        <v>258</v>
      </c>
      <c r="B261" s="9" t="s">
        <v>35</v>
      </c>
      <c r="C261" s="10" t="str">
        <f aca="false">VLOOKUP($B261,DM_NHAN_VIEN!$B$4:$F$18,2,FALSE())</f>
        <v>Lê Văn Quản Đốc</v>
      </c>
      <c r="D261" s="9" t="str">
        <f aca="false">VLOOKUP($B261,DM_NHAN_VIEN!$B$4:$F$18,3,FALSE())</f>
        <v>Xưởng sản xuất</v>
      </c>
      <c r="E261" s="9" t="str">
        <f aca="false">VLOOKUP($B261,DM_NHAN_VIEN!$B$4:$F$18,4,FALSE())</f>
        <v>Quản đốc</v>
      </c>
      <c r="F261" s="18" t="n">
        <v>46193</v>
      </c>
      <c r="G261" s="9" t="str">
        <f aca="false">CHOOSE(WEEKDAY(F261,2),"Thứ Hai","Thứ Ba","Thứ Tư","Thứ Năm","Thứ Sáu","Thứ Bảy","Chủ Nhật")</f>
        <v>Thứ Bảy</v>
      </c>
      <c r="H261" s="9" t="str">
        <f aca="false">VLOOKUP($B261,DM_NHAN_VIEN!$B$4:$F$18,5,FALSE())</f>
        <v>Ca Hành Chính</v>
      </c>
      <c r="I261" s="9" t="str">
        <f aca="false">VLOOKUP($H261,DM_CA_LAM!$A$4:$C$6,2,FALSE())</f>
        <v>07:30</v>
      </c>
      <c r="J261" s="9" t="str">
        <f aca="false">VLOOKUP($H261,DM_CA_LAM!$A$4:$C$6,3,FALSE())</f>
        <v>17:30</v>
      </c>
      <c r="K261" s="9"/>
      <c r="L261" s="9"/>
      <c r="M261" s="9" t="str">
        <f aca="false">IF($K261="","",MAX(0,ROUND((TIMEVALUE($K261)-TIMEVALUE($I261))*1440,0)))</f>
        <v/>
      </c>
      <c r="N261" s="9" t="str">
        <f aca="false">IF($L261="","",MAX(0,ROUND((TIMEVALUE($J261)-TIMEVALUE($L261))*1440,0)))</f>
        <v/>
      </c>
      <c r="O261" s="9" t="n">
        <f aca="false">IF(OR($K261="",$L261=""),0,ROUND(VLOOKUP($H261,DM_CA_LAM!$A$4:$F$6,6,FALSE())-$M261/60-$N261/60,2))</f>
        <v>0</v>
      </c>
      <c r="P261" s="9" t="s">
        <v>117</v>
      </c>
      <c r="Q261" s="9" t="n">
        <v>0</v>
      </c>
      <c r="R261" s="10"/>
      <c r="S261" s="10"/>
      <c r="T261" s="9" t="str">
        <f aca="false">$B261&amp;"_"&amp;TEXT($F261,"yyyymmdd")</f>
        <v>NV004_20260620</v>
      </c>
      <c r="U261" s="9" t="str">
        <f aca="false">VLOOKUP($P261,DM_TRANG_THAI!$A$4:$B$9,2,FALSE())</f>
        <v>NP</v>
      </c>
    </row>
    <row r="262" customFormat="false" ht="15.75" hidden="false" customHeight="true" outlineLevel="0" collapsed="false">
      <c r="A262" s="9" t="n">
        <v>259</v>
      </c>
      <c r="B262" s="9" t="s">
        <v>40</v>
      </c>
      <c r="C262" s="10" t="str">
        <f aca="false">VLOOKUP($B262,DM_NHAN_VIEN!$B$4:$F$18,2,FALSE())</f>
        <v>Phạm Công Nhân</v>
      </c>
      <c r="D262" s="9" t="str">
        <f aca="false">VLOOKUP($B262,DM_NHAN_VIEN!$B$4:$F$18,3,FALSE())</f>
        <v>Xưởng sản xuất</v>
      </c>
      <c r="E262" s="9" t="str">
        <f aca="false">VLOOKUP($B262,DM_NHAN_VIEN!$B$4:$F$18,4,FALSE())</f>
        <v>Công nhân</v>
      </c>
      <c r="F262" s="18" t="n">
        <v>46193</v>
      </c>
      <c r="G262" s="9" t="str">
        <f aca="false">CHOOSE(WEEKDAY(F262,2),"Thứ Hai","Thứ Ba","Thứ Tư","Thứ Năm","Thứ Sáu","Thứ Bảy","Chủ Nhật")</f>
        <v>Thứ Bảy</v>
      </c>
      <c r="H262" s="9" t="str">
        <f aca="false">VLOOKUP($B262,DM_NHAN_VIEN!$B$4:$F$18,5,FALSE())</f>
        <v>Ca Hành Chính</v>
      </c>
      <c r="I262" s="9" t="str">
        <f aca="false">VLOOKUP($H262,DM_CA_LAM!$A$4:$C$6,2,FALSE())</f>
        <v>07:30</v>
      </c>
      <c r="J262" s="9" t="str">
        <f aca="false">VLOOKUP($H262,DM_CA_LAM!$A$4:$C$6,3,FALSE())</f>
        <v>17:30</v>
      </c>
      <c r="K262" s="9" t="s">
        <v>167</v>
      </c>
      <c r="L262" s="9" t="s">
        <v>183</v>
      </c>
      <c r="M262" s="9" t="n">
        <f aca="false">IF($K262="","",MAX(0,ROUND((TIMEVALUE($K262)-TIMEVALUE($I262))*1440,0)))</f>
        <v>0</v>
      </c>
      <c r="N262" s="9" t="n">
        <f aca="false">IF($L262="","",MAX(0,ROUND((TIMEVALUE($J262)-TIMEVALUE($L262))*1440,0)))</f>
        <v>0</v>
      </c>
      <c r="O262" s="9" t="n">
        <f aca="false">IF(OR($K262="",$L262=""),0,ROUND(VLOOKUP($H262,DM_CA_LAM!$A$4:$F$6,6,FALSE())-$M262/60-$N262/60,2))</f>
        <v>8</v>
      </c>
      <c r="P262" s="9" t="s">
        <v>108</v>
      </c>
      <c r="Q262" s="9" t="n">
        <v>0</v>
      </c>
      <c r="R262" s="10"/>
      <c r="S262" s="10"/>
      <c r="T262" s="9" t="str">
        <f aca="false">$B262&amp;"_"&amp;TEXT($F262,"yyyymmdd")</f>
        <v>NV005_20260620</v>
      </c>
      <c r="U262" s="9" t="str">
        <f aca="false">VLOOKUP($P262,DM_TRANG_THAI!$A$4:$B$9,2,FALSE())</f>
        <v>P</v>
      </c>
    </row>
    <row r="263" customFormat="false" ht="15.75" hidden="false" customHeight="true" outlineLevel="0" collapsed="false">
      <c r="A263" s="9" t="n">
        <v>260</v>
      </c>
      <c r="B263" s="9" t="s">
        <v>44</v>
      </c>
      <c r="C263" s="10" t="str">
        <f aca="false">VLOOKUP($B263,DM_NHAN_VIEN!$B$4:$F$18,2,FALSE())</f>
        <v>Đỗ Thị Hà</v>
      </c>
      <c r="D263" s="9" t="str">
        <f aca="false">VLOOKUP($B263,DM_NHAN_VIEN!$B$4:$F$18,3,FALSE())</f>
        <v>Hành chính</v>
      </c>
      <c r="E263" s="9" t="str">
        <f aca="false">VLOOKUP($B263,DM_NHAN_VIEN!$B$4:$F$18,4,FALSE())</f>
        <v>Trưởng phòng</v>
      </c>
      <c r="F263" s="18" t="n">
        <v>46193</v>
      </c>
      <c r="G263" s="9" t="str">
        <f aca="false">CHOOSE(WEEKDAY(F263,2),"Thứ Hai","Thứ Ba","Thứ Tư","Thứ Năm","Thứ Sáu","Thứ Bảy","Chủ Nhật")</f>
        <v>Thứ Bảy</v>
      </c>
      <c r="H263" s="9" t="str">
        <f aca="false">VLOOKUP($B263,DM_NHAN_VIEN!$B$4:$F$18,5,FALSE())</f>
        <v>Ca Hành Chính</v>
      </c>
      <c r="I263" s="9" t="str">
        <f aca="false">VLOOKUP($H263,DM_CA_LAM!$A$4:$C$6,2,FALSE())</f>
        <v>07:30</v>
      </c>
      <c r="J263" s="9" t="str">
        <f aca="false">VLOOKUP($H263,DM_CA_LAM!$A$4:$C$6,3,FALSE())</f>
        <v>17:30</v>
      </c>
      <c r="K263" s="9" t="s">
        <v>194</v>
      </c>
      <c r="L263" s="9" t="s">
        <v>143</v>
      </c>
      <c r="M263" s="9" t="n">
        <f aca="false">IF($K263="","",MAX(0,ROUND((TIMEVALUE($K263)-TIMEVALUE($I263))*1440,0)))</f>
        <v>27</v>
      </c>
      <c r="N263" s="9" t="n">
        <f aca="false">IF($L263="","",MAX(0,ROUND((TIMEVALUE($J263)-TIMEVALUE($L263))*1440,0)))</f>
        <v>0</v>
      </c>
      <c r="O263" s="9" t="n">
        <f aca="false">IF(OR($K263="",$L263=""),0,ROUND(VLOOKUP($H263,DM_CA_LAM!$A$4:$F$6,6,FALSE())-$M263/60-$N263/60,2))</f>
        <v>7.55</v>
      </c>
      <c r="P263" s="9" t="s">
        <v>111</v>
      </c>
      <c r="Q263" s="9" t="n">
        <v>1.5</v>
      </c>
      <c r="R263" s="10" t="s">
        <v>169</v>
      </c>
      <c r="S263" s="10"/>
      <c r="T263" s="9" t="str">
        <f aca="false">$B263&amp;"_"&amp;TEXT($F263,"yyyymmdd")</f>
        <v>NV006_20260620</v>
      </c>
      <c r="U263" s="9" t="str">
        <f aca="false">VLOOKUP($P263,DM_TRANG_THAI!$A$4:$B$9,2,FALSE())</f>
        <v>L</v>
      </c>
    </row>
    <row r="264" customFormat="false" ht="15.75" hidden="false" customHeight="true" outlineLevel="0" collapsed="false">
      <c r="A264" s="9" t="n">
        <v>261</v>
      </c>
      <c r="B264" s="9" t="s">
        <v>47</v>
      </c>
      <c r="C264" s="10" t="str">
        <f aca="false">VLOOKUP($B264,DM_NHAN_VIEN!$B$4:$F$18,2,FALSE())</f>
        <v>Ngô Văn Tài</v>
      </c>
      <c r="D264" s="9" t="str">
        <f aca="false">VLOOKUP($B264,DM_NHAN_VIEN!$B$4:$F$18,3,FALSE())</f>
        <v>Hành chính</v>
      </c>
      <c r="E264" s="9" t="str">
        <f aca="false">VLOOKUP($B264,DM_NHAN_VIEN!$B$4:$F$18,4,FALSE())</f>
        <v>Phó phòng</v>
      </c>
      <c r="F264" s="18" t="n">
        <v>46193</v>
      </c>
      <c r="G264" s="9" t="str">
        <f aca="false">CHOOSE(WEEKDAY(F264,2),"Thứ Hai","Thứ Ba","Thứ Tư","Thứ Năm","Thứ Sáu","Thứ Bảy","Chủ Nhật")</f>
        <v>Thứ Bảy</v>
      </c>
      <c r="H264" s="9" t="str">
        <f aca="false">VLOOKUP($B264,DM_NHAN_VIEN!$B$4:$F$18,5,FALSE())</f>
        <v>Ca Hành Chính</v>
      </c>
      <c r="I264" s="9" t="str">
        <f aca="false">VLOOKUP($H264,DM_CA_LAM!$A$4:$C$6,2,FALSE())</f>
        <v>07:30</v>
      </c>
      <c r="J264" s="9" t="str">
        <f aca="false">VLOOKUP($H264,DM_CA_LAM!$A$4:$C$6,3,FALSE())</f>
        <v>17:30</v>
      </c>
      <c r="K264" s="9" t="s">
        <v>158</v>
      </c>
      <c r="L264" s="9" t="s">
        <v>174</v>
      </c>
      <c r="M264" s="9" t="n">
        <f aca="false">IF($K264="","",MAX(0,ROUND((TIMEVALUE($K264)-TIMEVALUE($I264))*1440,0)))</f>
        <v>0</v>
      </c>
      <c r="N264" s="9" t="n">
        <f aca="false">IF($L264="","",MAX(0,ROUND((TIMEVALUE($J264)-TIMEVALUE($L264))*1440,0)))</f>
        <v>0</v>
      </c>
      <c r="O264" s="9" t="n">
        <f aca="false">IF(OR($K264="",$L264=""),0,ROUND(VLOOKUP($H264,DM_CA_LAM!$A$4:$F$6,6,FALSE())-$M264/60-$N264/60,2))</f>
        <v>8</v>
      </c>
      <c r="P264" s="9" t="s">
        <v>108</v>
      </c>
      <c r="Q264" s="9" t="n">
        <v>0</v>
      </c>
      <c r="R264" s="10"/>
      <c r="S264" s="10"/>
      <c r="T264" s="9" t="str">
        <f aca="false">$B264&amp;"_"&amp;TEXT($F264,"yyyymmdd")</f>
        <v>NV007_20260620</v>
      </c>
      <c r="U264" s="9" t="str">
        <f aca="false">VLOOKUP($P264,DM_TRANG_THAI!$A$4:$B$9,2,FALSE())</f>
        <v>P</v>
      </c>
    </row>
    <row r="265" customFormat="false" ht="15.75" hidden="false" customHeight="true" outlineLevel="0" collapsed="false">
      <c r="A265" s="9" t="n">
        <v>262</v>
      </c>
      <c r="B265" s="9" t="s">
        <v>51</v>
      </c>
      <c r="C265" s="10" t="str">
        <f aca="false">VLOOKUP($B265,DM_NHAN_VIEN!$B$4:$F$18,2,FALSE())</f>
        <v>Vũ Thị Nga</v>
      </c>
      <c r="D265" s="9" t="str">
        <f aca="false">VLOOKUP($B265,DM_NHAN_VIEN!$B$4:$F$18,3,FALSE())</f>
        <v>Hành chính</v>
      </c>
      <c r="E265" s="9" t="str">
        <f aca="false">VLOOKUP($B265,DM_NHAN_VIEN!$B$4:$F$18,4,FALSE())</f>
        <v>Chuyên viên</v>
      </c>
      <c r="F265" s="18" t="n">
        <v>46193</v>
      </c>
      <c r="G265" s="9" t="str">
        <f aca="false">CHOOSE(WEEKDAY(F265,2),"Thứ Hai","Thứ Ba","Thứ Tư","Thứ Năm","Thứ Sáu","Thứ Bảy","Chủ Nhật")</f>
        <v>Thứ Bảy</v>
      </c>
      <c r="H265" s="9" t="str">
        <f aca="false">VLOOKUP($B265,DM_NHAN_VIEN!$B$4:$F$18,5,FALSE())</f>
        <v>Ca Hành Chính</v>
      </c>
      <c r="I265" s="9" t="str">
        <f aca="false">VLOOKUP($H265,DM_CA_LAM!$A$4:$C$6,2,FALSE())</f>
        <v>07:30</v>
      </c>
      <c r="J265" s="9" t="str">
        <f aca="false">VLOOKUP($H265,DM_CA_LAM!$A$4:$C$6,3,FALSE())</f>
        <v>17:30</v>
      </c>
      <c r="K265" s="9" t="s">
        <v>147</v>
      </c>
      <c r="L265" s="9" t="s">
        <v>159</v>
      </c>
      <c r="M265" s="9" t="n">
        <f aca="false">IF($K265="","",MAX(0,ROUND((TIMEVALUE($K265)-TIMEVALUE($I265))*1440,0)))</f>
        <v>0</v>
      </c>
      <c r="N265" s="9" t="n">
        <f aca="false">IF($L265="","",MAX(0,ROUND((TIMEVALUE($J265)-TIMEVALUE($L265))*1440,0)))</f>
        <v>0</v>
      </c>
      <c r="O265" s="9" t="n">
        <f aca="false">IF(OR($K265="",$L265=""),0,ROUND(VLOOKUP($H265,DM_CA_LAM!$A$4:$F$6,6,FALSE())-$M265/60-$N265/60,2))</f>
        <v>8</v>
      </c>
      <c r="P265" s="9" t="s">
        <v>108</v>
      </c>
      <c r="Q265" s="9" t="n">
        <v>0</v>
      </c>
      <c r="R265" s="10"/>
      <c r="S265" s="10"/>
      <c r="T265" s="9" t="str">
        <f aca="false">$B265&amp;"_"&amp;TEXT($F265,"yyyymmdd")</f>
        <v>NV008_20260620</v>
      </c>
      <c r="U265" s="9" t="str">
        <f aca="false">VLOOKUP($P265,DM_TRANG_THAI!$A$4:$B$9,2,FALSE())</f>
        <v>P</v>
      </c>
    </row>
    <row r="266" customFormat="false" ht="15.75" hidden="false" customHeight="true" outlineLevel="0" collapsed="false">
      <c r="A266" s="9" t="n">
        <v>263</v>
      </c>
      <c r="B266" s="9" t="s">
        <v>55</v>
      </c>
      <c r="C266" s="10" t="str">
        <f aca="false">VLOOKUP($B266,DM_NHAN_VIEN!$B$4:$F$18,2,FALSE())</f>
        <v>Đặng Thị Hồng</v>
      </c>
      <c r="D266" s="9" t="str">
        <f aca="false">VLOOKUP($B266,DM_NHAN_VIEN!$B$4:$F$18,3,FALSE())</f>
        <v>Nhân sự</v>
      </c>
      <c r="E266" s="9" t="str">
        <f aca="false">VLOOKUP($B266,DM_NHAN_VIEN!$B$4:$F$18,4,FALSE())</f>
        <v>Chuyên viên</v>
      </c>
      <c r="F266" s="18" t="n">
        <v>46193</v>
      </c>
      <c r="G266" s="9" t="str">
        <f aca="false">CHOOSE(WEEKDAY(F266,2),"Thứ Hai","Thứ Ba","Thứ Tư","Thứ Năm","Thứ Sáu","Thứ Bảy","Chủ Nhật")</f>
        <v>Thứ Bảy</v>
      </c>
      <c r="H266" s="9" t="str">
        <f aca="false">VLOOKUP($B266,DM_NHAN_VIEN!$B$4:$F$18,5,FALSE())</f>
        <v>Ca Hành Chính</v>
      </c>
      <c r="I266" s="9" t="str">
        <f aca="false">VLOOKUP($H266,DM_CA_LAM!$A$4:$C$6,2,FALSE())</f>
        <v>07:30</v>
      </c>
      <c r="J266" s="9" t="str">
        <f aca="false">VLOOKUP($H266,DM_CA_LAM!$A$4:$C$6,3,FALSE())</f>
        <v>17:30</v>
      </c>
      <c r="K266" s="9" t="s">
        <v>147</v>
      </c>
      <c r="L266" s="9" t="s">
        <v>143</v>
      </c>
      <c r="M266" s="9" t="n">
        <f aca="false">IF($K266="","",MAX(0,ROUND((TIMEVALUE($K266)-TIMEVALUE($I266))*1440,0)))</f>
        <v>0</v>
      </c>
      <c r="N266" s="9" t="n">
        <f aca="false">IF($L266="","",MAX(0,ROUND((TIMEVALUE($J266)-TIMEVALUE($L266))*1440,0)))</f>
        <v>0</v>
      </c>
      <c r="O266" s="9" t="n">
        <f aca="false">IF(OR($K266="",$L266=""),0,ROUND(VLOOKUP($H266,DM_CA_LAM!$A$4:$F$6,6,FALSE())-$M266/60-$N266/60,2))</f>
        <v>8</v>
      </c>
      <c r="P266" s="9" t="s">
        <v>108</v>
      </c>
      <c r="Q266" s="9" t="n">
        <v>1.5</v>
      </c>
      <c r="R266" s="10" t="s">
        <v>184</v>
      </c>
      <c r="S266" s="10"/>
      <c r="T266" s="9" t="str">
        <f aca="false">$B266&amp;"_"&amp;TEXT($F266,"yyyymmdd")</f>
        <v>NV010_20260620</v>
      </c>
      <c r="U266" s="9" t="str">
        <f aca="false">VLOOKUP($P266,DM_TRANG_THAI!$A$4:$B$9,2,FALSE())</f>
        <v>P</v>
      </c>
    </row>
    <row r="267" customFormat="false" ht="15.75" hidden="false" customHeight="true" outlineLevel="0" collapsed="false">
      <c r="A267" s="9" t="n">
        <v>264</v>
      </c>
      <c r="B267" s="9" t="s">
        <v>58</v>
      </c>
      <c r="C267" s="10" t="str">
        <f aca="false">VLOOKUP($B267,DM_NHAN_VIEN!$B$4:$F$18,2,FALSE())</f>
        <v>Chu Văn Minh</v>
      </c>
      <c r="D267" s="9" t="str">
        <f aca="false">VLOOKUP($B267,DM_NHAN_VIEN!$B$4:$F$18,3,FALSE())</f>
        <v>Nhân sự</v>
      </c>
      <c r="E267" s="9" t="str">
        <f aca="false">VLOOKUP($B267,DM_NHAN_VIEN!$B$4:$F$18,4,FALSE())</f>
        <v>Chuyên viên</v>
      </c>
      <c r="F267" s="18" t="n">
        <v>46193</v>
      </c>
      <c r="G267" s="9" t="str">
        <f aca="false">CHOOSE(WEEKDAY(F267,2),"Thứ Hai","Thứ Ba","Thứ Tư","Thứ Năm","Thứ Sáu","Thứ Bảy","Chủ Nhật")</f>
        <v>Thứ Bảy</v>
      </c>
      <c r="H267" s="9" t="str">
        <f aca="false">VLOOKUP($B267,DM_NHAN_VIEN!$B$4:$F$18,5,FALSE())</f>
        <v>Ca Hành Chính</v>
      </c>
      <c r="I267" s="9" t="str">
        <f aca="false">VLOOKUP($H267,DM_CA_LAM!$A$4:$C$6,2,FALSE())</f>
        <v>07:30</v>
      </c>
      <c r="J267" s="9" t="str">
        <f aca="false">VLOOKUP($H267,DM_CA_LAM!$A$4:$C$6,3,FALSE())</f>
        <v>17:30</v>
      </c>
      <c r="K267" s="9" t="s">
        <v>145</v>
      </c>
      <c r="L267" s="9" t="s">
        <v>170</v>
      </c>
      <c r="M267" s="9" t="n">
        <f aca="false">IF($K267="","",MAX(0,ROUND((TIMEVALUE($K267)-TIMEVALUE($I267))*1440,0)))</f>
        <v>0</v>
      </c>
      <c r="N267" s="9" t="n">
        <f aca="false">IF($L267="","",MAX(0,ROUND((TIMEVALUE($J267)-TIMEVALUE($L267))*1440,0)))</f>
        <v>0</v>
      </c>
      <c r="O267" s="9" t="n">
        <f aca="false">IF(OR($K267="",$L267=""),0,ROUND(VLOOKUP($H267,DM_CA_LAM!$A$4:$F$6,6,FALSE())-$M267/60-$N267/60,2))</f>
        <v>8</v>
      </c>
      <c r="P267" s="9" t="s">
        <v>108</v>
      </c>
      <c r="Q267" s="9" t="n">
        <v>0</v>
      </c>
      <c r="R267" s="10"/>
      <c r="S267" s="10"/>
      <c r="T267" s="9" t="str">
        <f aca="false">$B267&amp;"_"&amp;TEXT($F267,"yyyymmdd")</f>
        <v>NV011_20260620</v>
      </c>
      <c r="U267" s="9" t="str">
        <f aca="false">VLOOKUP($P267,DM_TRANG_THAI!$A$4:$B$9,2,FALSE())</f>
        <v>P</v>
      </c>
    </row>
    <row r="268" customFormat="false" ht="15.75" hidden="false" customHeight="true" outlineLevel="0" collapsed="false">
      <c r="A268" s="9" t="n">
        <v>265</v>
      </c>
      <c r="B268" s="9" t="s">
        <v>61</v>
      </c>
      <c r="C268" s="10" t="str">
        <f aca="false">VLOOKUP($B268,DM_NHAN_VIEN!$B$4:$F$18,2,FALSE())</f>
        <v>Phan Thị Khánh</v>
      </c>
      <c r="D268" s="9" t="str">
        <f aca="false">VLOOKUP($B268,DM_NHAN_VIEN!$B$4:$F$18,3,FALSE())</f>
        <v>Kế toán</v>
      </c>
      <c r="E268" s="9" t="str">
        <f aca="false">VLOOKUP($B268,DM_NHAN_VIEN!$B$4:$F$18,4,FALSE())</f>
        <v>Trưởng phòng</v>
      </c>
      <c r="F268" s="18" t="n">
        <v>46193</v>
      </c>
      <c r="G268" s="9" t="str">
        <f aca="false">CHOOSE(WEEKDAY(F268,2),"Thứ Hai","Thứ Ba","Thứ Tư","Thứ Năm","Thứ Sáu","Thứ Bảy","Chủ Nhật")</f>
        <v>Thứ Bảy</v>
      </c>
      <c r="H268" s="9" t="str">
        <f aca="false">VLOOKUP($B268,DM_NHAN_VIEN!$B$4:$F$18,5,FALSE())</f>
        <v>Ca Hành Chính</v>
      </c>
      <c r="I268" s="9" t="str">
        <f aca="false">VLOOKUP($H268,DM_CA_LAM!$A$4:$C$6,2,FALSE())</f>
        <v>07:30</v>
      </c>
      <c r="J268" s="9" t="str">
        <f aca="false">VLOOKUP($H268,DM_CA_LAM!$A$4:$C$6,3,FALSE())</f>
        <v>17:30</v>
      </c>
      <c r="K268" s="9" t="s">
        <v>92</v>
      </c>
      <c r="L268" s="9" t="s">
        <v>149</v>
      </c>
      <c r="M268" s="9" t="n">
        <f aca="false">IF($K268="","",MAX(0,ROUND((TIMEVALUE($K268)-TIMEVALUE($I268))*1440,0)))</f>
        <v>0</v>
      </c>
      <c r="N268" s="9" t="n">
        <f aca="false">IF($L268="","",MAX(0,ROUND((TIMEVALUE($J268)-TIMEVALUE($L268))*1440,0)))</f>
        <v>0</v>
      </c>
      <c r="O268" s="9" t="n">
        <f aca="false">IF(OR($K268="",$L268=""),0,ROUND(VLOOKUP($H268,DM_CA_LAM!$A$4:$F$6,6,FALSE())-$M268/60-$N268/60,2))</f>
        <v>8</v>
      </c>
      <c r="P268" s="9" t="s">
        <v>108</v>
      </c>
      <c r="Q268" s="9" t="n">
        <v>0</v>
      </c>
      <c r="R268" s="10"/>
      <c r="S268" s="10"/>
      <c r="T268" s="9" t="str">
        <f aca="false">$B268&amp;"_"&amp;TEXT($F268,"yyyymmdd")</f>
        <v>NV014_20260620</v>
      </c>
      <c r="U268" s="9" t="str">
        <f aca="false">VLOOKUP($P268,DM_TRANG_THAI!$A$4:$B$9,2,FALSE())</f>
        <v>P</v>
      </c>
    </row>
    <row r="269" customFormat="false" ht="15.75" hidden="false" customHeight="true" outlineLevel="0" collapsed="false">
      <c r="A269" s="9" t="n">
        <v>266</v>
      </c>
      <c r="B269" s="9" t="s">
        <v>65</v>
      </c>
      <c r="C269" s="10" t="str">
        <f aca="false">VLOOKUP($B269,DM_NHAN_VIEN!$B$4:$F$18,2,FALSE())</f>
        <v>Trịnh Văn Hùng</v>
      </c>
      <c r="D269" s="9" t="str">
        <f aca="false">VLOOKUP($B269,DM_NHAN_VIEN!$B$4:$F$18,3,FALSE())</f>
        <v>Kế toán</v>
      </c>
      <c r="E269" s="9" t="str">
        <f aca="false">VLOOKUP($B269,DM_NHAN_VIEN!$B$4:$F$18,4,FALSE())</f>
        <v>Phó phòng</v>
      </c>
      <c r="F269" s="18" t="n">
        <v>46193</v>
      </c>
      <c r="G269" s="9" t="str">
        <f aca="false">CHOOSE(WEEKDAY(F269,2),"Thứ Hai","Thứ Ba","Thứ Tư","Thứ Năm","Thứ Sáu","Thứ Bảy","Chủ Nhật")</f>
        <v>Thứ Bảy</v>
      </c>
      <c r="H269" s="9" t="str">
        <f aca="false">VLOOKUP($B269,DM_NHAN_VIEN!$B$4:$F$18,5,FALSE())</f>
        <v>Ca Hành Chính</v>
      </c>
      <c r="I269" s="9" t="str">
        <f aca="false">VLOOKUP($H269,DM_CA_LAM!$A$4:$C$6,2,FALSE())</f>
        <v>07:30</v>
      </c>
      <c r="J269" s="9" t="str">
        <f aca="false">VLOOKUP($H269,DM_CA_LAM!$A$4:$C$6,3,FALSE())</f>
        <v>17:30</v>
      </c>
      <c r="K269" s="9" t="s">
        <v>147</v>
      </c>
      <c r="L269" s="9" t="s">
        <v>93</v>
      </c>
      <c r="M269" s="9" t="n">
        <f aca="false">IF($K269="","",MAX(0,ROUND((TIMEVALUE($K269)-TIMEVALUE($I269))*1440,0)))</f>
        <v>0</v>
      </c>
      <c r="N269" s="9" t="n">
        <f aca="false">IF($L269="","",MAX(0,ROUND((TIMEVALUE($J269)-TIMEVALUE($L269))*1440,0)))</f>
        <v>0</v>
      </c>
      <c r="O269" s="9" t="n">
        <f aca="false">IF(OR($K269="",$L269=""),0,ROUND(VLOOKUP($H269,DM_CA_LAM!$A$4:$F$6,6,FALSE())-$M269/60-$N269/60,2))</f>
        <v>8</v>
      </c>
      <c r="P269" s="9" t="s">
        <v>108</v>
      </c>
      <c r="Q269" s="9" t="n">
        <v>2</v>
      </c>
      <c r="R269" s="10" t="s">
        <v>177</v>
      </c>
      <c r="S269" s="10"/>
      <c r="T269" s="9" t="str">
        <f aca="false">$B269&amp;"_"&amp;TEXT($F269,"yyyymmdd")</f>
        <v>NV015_20260620</v>
      </c>
      <c r="U269" s="9" t="str">
        <f aca="false">VLOOKUP($P269,DM_TRANG_THAI!$A$4:$B$9,2,FALSE())</f>
        <v>P</v>
      </c>
    </row>
    <row r="270" customFormat="false" ht="15.75" hidden="false" customHeight="true" outlineLevel="0" collapsed="false">
      <c r="A270" s="9" t="n">
        <v>267</v>
      </c>
      <c r="B270" s="9" t="s">
        <v>68</v>
      </c>
      <c r="C270" s="10" t="str">
        <f aca="false">VLOOKUP($B270,DM_NHAN_VIEN!$B$4:$F$18,2,FALSE())</f>
        <v>Hoàng Văn Lộc</v>
      </c>
      <c r="D270" s="9" t="str">
        <f aca="false">VLOOKUP($B270,DM_NHAN_VIEN!$B$4:$F$18,3,FALSE())</f>
        <v>Kinh doanh</v>
      </c>
      <c r="E270" s="9" t="str">
        <f aca="false">VLOOKUP($B270,DM_NHAN_VIEN!$B$4:$F$18,4,FALSE())</f>
        <v>Trưởng phòng</v>
      </c>
      <c r="F270" s="18" t="n">
        <v>46193</v>
      </c>
      <c r="G270" s="9" t="str">
        <f aca="false">CHOOSE(WEEKDAY(F270,2),"Thứ Hai","Thứ Ba","Thứ Tư","Thứ Năm","Thứ Sáu","Thứ Bảy","Chủ Nhật")</f>
        <v>Thứ Bảy</v>
      </c>
      <c r="H270" s="9" t="str">
        <f aca="false">VLOOKUP($B270,DM_NHAN_VIEN!$B$4:$F$18,5,FALSE())</f>
        <v>Ca Hành Chính</v>
      </c>
      <c r="I270" s="9" t="str">
        <f aca="false">VLOOKUP($H270,DM_CA_LAM!$A$4:$C$6,2,FALSE())</f>
        <v>07:30</v>
      </c>
      <c r="J270" s="9" t="str">
        <f aca="false">VLOOKUP($H270,DM_CA_LAM!$A$4:$C$6,3,FALSE())</f>
        <v>17:30</v>
      </c>
      <c r="K270" s="9" t="s">
        <v>161</v>
      </c>
      <c r="L270" s="9" t="s">
        <v>159</v>
      </c>
      <c r="M270" s="9" t="n">
        <f aca="false">IF($K270="","",MAX(0,ROUND((TIMEVALUE($K270)-TIMEVALUE($I270))*1440,0)))</f>
        <v>0</v>
      </c>
      <c r="N270" s="9" t="n">
        <f aca="false">IF($L270="","",MAX(0,ROUND((TIMEVALUE($J270)-TIMEVALUE($L270))*1440,0)))</f>
        <v>0</v>
      </c>
      <c r="O270" s="9" t="n">
        <f aca="false">IF(OR($K270="",$L270=""),0,ROUND(VLOOKUP($H270,DM_CA_LAM!$A$4:$F$6,6,FALSE())-$M270/60-$N270/60,2))</f>
        <v>8</v>
      </c>
      <c r="P270" s="9" t="s">
        <v>108</v>
      </c>
      <c r="Q270" s="9" t="n">
        <v>0</v>
      </c>
      <c r="R270" s="10"/>
      <c r="S270" s="10"/>
      <c r="T270" s="9" t="str">
        <f aca="false">$B270&amp;"_"&amp;TEXT($F270,"yyyymmdd")</f>
        <v>NV019_20260620</v>
      </c>
      <c r="U270" s="9" t="str">
        <f aca="false">VLOOKUP($P270,DM_TRANG_THAI!$A$4:$B$9,2,FALSE())</f>
        <v>P</v>
      </c>
    </row>
    <row r="271" customFormat="false" ht="15.75" hidden="false" customHeight="true" outlineLevel="0" collapsed="false">
      <c r="A271" s="9" t="n">
        <v>268</v>
      </c>
      <c r="B271" s="9" t="s">
        <v>72</v>
      </c>
      <c r="C271" s="10" t="str">
        <f aca="false">VLOOKUP($B271,DM_NHAN_VIEN!$B$4:$F$18,2,FALSE())</f>
        <v>Nguyễn Văn Phú</v>
      </c>
      <c r="D271" s="9" t="str">
        <f aca="false">VLOOKUP($B271,DM_NHAN_VIEN!$B$4:$F$18,3,FALSE())</f>
        <v>Kinh doanh</v>
      </c>
      <c r="E271" s="9" t="str">
        <f aca="false">VLOOKUP($B271,DM_NHAN_VIEN!$B$4:$F$18,4,FALSE())</f>
        <v>Nhân viên</v>
      </c>
      <c r="F271" s="18" t="n">
        <v>46193</v>
      </c>
      <c r="G271" s="9" t="str">
        <f aca="false">CHOOSE(WEEKDAY(F271,2),"Thứ Hai","Thứ Ba","Thứ Tư","Thứ Năm","Thứ Sáu","Thứ Bảy","Chủ Nhật")</f>
        <v>Thứ Bảy</v>
      </c>
      <c r="H271" s="9" t="str">
        <f aca="false">VLOOKUP($B271,DM_NHAN_VIEN!$B$4:$F$18,5,FALSE())</f>
        <v>Ca Hành Chính</v>
      </c>
      <c r="I271" s="9" t="str">
        <f aca="false">VLOOKUP($H271,DM_CA_LAM!$A$4:$C$6,2,FALSE())</f>
        <v>07:30</v>
      </c>
      <c r="J271" s="9" t="str">
        <f aca="false">VLOOKUP($H271,DM_CA_LAM!$A$4:$C$6,3,FALSE())</f>
        <v>17:30</v>
      </c>
      <c r="K271" s="9" t="s">
        <v>160</v>
      </c>
      <c r="L271" s="9" t="s">
        <v>144</v>
      </c>
      <c r="M271" s="9" t="n">
        <f aca="false">IF($K271="","",MAX(0,ROUND((TIMEVALUE($K271)-TIMEVALUE($I271))*1440,0)))</f>
        <v>0</v>
      </c>
      <c r="N271" s="9" t="n">
        <f aca="false">IF($L271="","",MAX(0,ROUND((TIMEVALUE($J271)-TIMEVALUE($L271))*1440,0)))</f>
        <v>0</v>
      </c>
      <c r="O271" s="9" t="n">
        <f aca="false">IF(OR($K271="",$L271=""),0,ROUND(VLOOKUP($H271,DM_CA_LAM!$A$4:$F$6,6,FALSE())-$M271/60-$N271/60,2))</f>
        <v>8</v>
      </c>
      <c r="P271" s="9" t="s">
        <v>108</v>
      </c>
      <c r="Q271" s="9" t="n">
        <v>0</v>
      </c>
      <c r="R271" s="10"/>
      <c r="S271" s="10"/>
      <c r="T271" s="9" t="str">
        <f aca="false">$B271&amp;"_"&amp;TEXT($F271,"yyyymmdd")</f>
        <v>NV021_20260620</v>
      </c>
      <c r="U271" s="9" t="str">
        <f aca="false">VLOOKUP($P271,DM_TRANG_THAI!$A$4:$B$9,2,FALSE())</f>
        <v>P</v>
      </c>
    </row>
    <row r="272" customFormat="false" ht="15.75" hidden="false" customHeight="true" outlineLevel="0" collapsed="false">
      <c r="A272" s="9" t="n">
        <v>269</v>
      </c>
      <c r="B272" s="9" t="s">
        <v>76</v>
      </c>
      <c r="C272" s="10" t="str">
        <f aca="false">VLOOKUP($B272,DM_NHAN_VIEN!$B$4:$F$18,2,FALSE())</f>
        <v>Lý Văn Dũng</v>
      </c>
      <c r="D272" s="9" t="str">
        <f aca="false">VLOOKUP($B272,DM_NHAN_VIEN!$B$4:$F$18,3,FALSE())</f>
        <v>Xưởng sản xuất</v>
      </c>
      <c r="E272" s="9" t="str">
        <f aca="false">VLOOKUP($B272,DM_NHAN_VIEN!$B$4:$F$18,4,FALSE())</f>
        <v>Tổ trưởng</v>
      </c>
      <c r="F272" s="18" t="n">
        <v>46193</v>
      </c>
      <c r="G272" s="9" t="str">
        <f aca="false">CHOOSE(WEEKDAY(F272,2),"Thứ Hai","Thứ Ba","Thứ Tư","Thứ Năm","Thứ Sáu","Thứ Bảy","Chủ Nhật")</f>
        <v>Thứ Bảy</v>
      </c>
      <c r="H272" s="9" t="str">
        <f aca="false">VLOOKUP($B272,DM_NHAN_VIEN!$B$4:$F$18,5,FALSE())</f>
        <v>Ca Hành Chính</v>
      </c>
      <c r="I272" s="9" t="str">
        <f aca="false">VLOOKUP($H272,DM_CA_LAM!$A$4:$C$6,2,FALSE())</f>
        <v>07:30</v>
      </c>
      <c r="J272" s="9" t="str">
        <f aca="false">VLOOKUP($H272,DM_CA_LAM!$A$4:$C$6,3,FALSE())</f>
        <v>17:30</v>
      </c>
      <c r="K272" s="9" t="s">
        <v>156</v>
      </c>
      <c r="L272" s="9" t="s">
        <v>153</v>
      </c>
      <c r="M272" s="9" t="n">
        <f aca="false">IF($K272="","",MAX(0,ROUND((TIMEVALUE($K272)-TIMEVALUE($I272))*1440,0)))</f>
        <v>0</v>
      </c>
      <c r="N272" s="9" t="n">
        <f aca="false">IF($L272="","",MAX(0,ROUND((TIMEVALUE($J272)-TIMEVALUE($L272))*1440,0)))</f>
        <v>0</v>
      </c>
      <c r="O272" s="9" t="n">
        <f aca="false">IF(OR($K272="",$L272=""),0,ROUND(VLOOKUP($H272,DM_CA_LAM!$A$4:$F$6,6,FALSE())-$M272/60-$N272/60,2))</f>
        <v>8</v>
      </c>
      <c r="P272" s="9" t="s">
        <v>108</v>
      </c>
      <c r="Q272" s="9" t="n">
        <v>0</v>
      </c>
      <c r="R272" s="10"/>
      <c r="S272" s="10"/>
      <c r="T272" s="9" t="str">
        <f aca="false">$B272&amp;"_"&amp;TEXT($F272,"yyyymmdd")</f>
        <v>NV029_20260620</v>
      </c>
      <c r="U272" s="9" t="str">
        <f aca="false">VLOOKUP($P272,DM_TRANG_THAI!$A$4:$B$9,2,FALSE())</f>
        <v>P</v>
      </c>
    </row>
    <row r="273" customFormat="false" ht="15.75" hidden="false" customHeight="true" outlineLevel="0" collapsed="false">
      <c r="A273" s="9" t="n">
        <v>270</v>
      </c>
      <c r="B273" s="9" t="s">
        <v>80</v>
      </c>
      <c r="C273" s="10" t="str">
        <f aca="false">VLOOKUP($B273,DM_NHAN_VIEN!$B$4:$F$18,2,FALSE())</f>
        <v>Tống Văn Thắng</v>
      </c>
      <c r="D273" s="9" t="str">
        <f aca="false">VLOOKUP($B273,DM_NHAN_VIEN!$B$4:$F$18,3,FALSE())</f>
        <v>Xưởng sản xuất</v>
      </c>
      <c r="E273" s="9" t="str">
        <f aca="false">VLOOKUP($B273,DM_NHAN_VIEN!$B$4:$F$18,4,FALSE())</f>
        <v>Tổ trưởng</v>
      </c>
      <c r="F273" s="18" t="n">
        <v>46193</v>
      </c>
      <c r="G273" s="9" t="str">
        <f aca="false">CHOOSE(WEEKDAY(F273,2),"Thứ Hai","Thứ Ba","Thứ Tư","Thứ Năm","Thứ Sáu","Thứ Bảy","Chủ Nhật")</f>
        <v>Thứ Bảy</v>
      </c>
      <c r="H273" s="9" t="str">
        <f aca="false">VLOOKUP($B273,DM_NHAN_VIEN!$B$4:$F$18,5,FALSE())</f>
        <v>Ca Hành Chính</v>
      </c>
      <c r="I273" s="9" t="str">
        <f aca="false">VLOOKUP($H273,DM_CA_LAM!$A$4:$C$6,2,FALSE())</f>
        <v>07:30</v>
      </c>
      <c r="J273" s="9" t="str">
        <f aca="false">VLOOKUP($H273,DM_CA_LAM!$A$4:$C$6,3,FALSE())</f>
        <v>17:30</v>
      </c>
      <c r="K273" s="9" t="s">
        <v>92</v>
      </c>
      <c r="L273" s="9" t="s">
        <v>166</v>
      </c>
      <c r="M273" s="9" t="n">
        <f aca="false">IF($K273="","",MAX(0,ROUND((TIMEVALUE($K273)-TIMEVALUE($I273))*1440,0)))</f>
        <v>0</v>
      </c>
      <c r="N273" s="9" t="n">
        <f aca="false">IF($L273="","",MAX(0,ROUND((TIMEVALUE($J273)-TIMEVALUE($L273))*1440,0)))</f>
        <v>0</v>
      </c>
      <c r="O273" s="9" t="n">
        <f aca="false">IF(OR($K273="",$L273=""),0,ROUND(VLOOKUP($H273,DM_CA_LAM!$A$4:$F$6,6,FALSE())-$M273/60-$N273/60,2))</f>
        <v>8</v>
      </c>
      <c r="P273" s="9" t="s">
        <v>108</v>
      </c>
      <c r="Q273" s="9" t="n">
        <v>0</v>
      </c>
      <c r="R273" s="10"/>
      <c r="S273" s="10"/>
      <c r="T273" s="9" t="str">
        <f aca="false">$B273&amp;"_"&amp;TEXT($F273,"yyyymmdd")</f>
        <v>NV030_20260620</v>
      </c>
      <c r="U273" s="9" t="str">
        <f aca="false">VLOOKUP($P273,DM_TRANG_THAI!$A$4:$B$9,2,FALSE())</f>
        <v>P</v>
      </c>
    </row>
    <row r="274" customFormat="false" ht="15.75" hidden="false" customHeight="true" outlineLevel="0" collapsed="false">
      <c r="A274" s="9" t="n">
        <v>271</v>
      </c>
      <c r="B274" s="9" t="s">
        <v>24</v>
      </c>
      <c r="C274" s="10" t="str">
        <f aca="false">VLOOKUP($B274,DM_NHAN_VIEN!$B$4:$F$18,2,FALSE())</f>
        <v>Nguyễn Văn Giám Đốc</v>
      </c>
      <c r="D274" s="9" t="str">
        <f aca="false">VLOOKUP($B274,DM_NHAN_VIEN!$B$4:$F$18,3,FALSE())</f>
        <v>Hành chính</v>
      </c>
      <c r="E274" s="9" t="str">
        <f aca="false">VLOOKUP($B274,DM_NHAN_VIEN!$B$4:$F$18,4,FALSE())</f>
        <v>Giám đốc</v>
      </c>
      <c r="F274" s="18" t="n">
        <v>46195</v>
      </c>
      <c r="G274" s="9" t="str">
        <f aca="false">CHOOSE(WEEKDAY(F274,2),"Thứ Hai","Thứ Ba","Thứ Tư","Thứ Năm","Thứ Sáu","Thứ Bảy","Chủ Nhật")</f>
        <v>Thứ Hai</v>
      </c>
      <c r="H274" s="9" t="str">
        <f aca="false">VLOOKUP($B274,DM_NHAN_VIEN!$B$4:$F$18,5,FALSE())</f>
        <v>Ca Hành Chính</v>
      </c>
      <c r="I274" s="9" t="str">
        <f aca="false">VLOOKUP($H274,DM_CA_LAM!$A$4:$C$6,2,FALSE())</f>
        <v>07:30</v>
      </c>
      <c r="J274" s="9" t="str">
        <f aca="false">VLOOKUP($H274,DM_CA_LAM!$A$4:$C$6,3,FALSE())</f>
        <v>17:30</v>
      </c>
      <c r="K274" s="9" t="s">
        <v>189</v>
      </c>
      <c r="L274" s="9" t="s">
        <v>93</v>
      </c>
      <c r="M274" s="9" t="n">
        <f aca="false">IF($K274="","",MAX(0,ROUND((TIMEVALUE($K274)-TIMEVALUE($I274))*1440,0)))</f>
        <v>29</v>
      </c>
      <c r="N274" s="9" t="n">
        <f aca="false">IF($L274="","",MAX(0,ROUND((TIMEVALUE($J274)-TIMEVALUE($L274))*1440,0)))</f>
        <v>0</v>
      </c>
      <c r="O274" s="9" t="n">
        <f aca="false">IF(OR($K274="",$L274=""),0,ROUND(VLOOKUP($H274,DM_CA_LAM!$A$4:$F$6,6,FALSE())-$M274/60-$N274/60,2))</f>
        <v>7.52</v>
      </c>
      <c r="P274" s="9" t="s">
        <v>111</v>
      </c>
      <c r="Q274" s="9" t="n">
        <v>0</v>
      </c>
      <c r="R274" s="10"/>
      <c r="S274" s="10" t="s">
        <v>182</v>
      </c>
      <c r="T274" s="9" t="str">
        <f aca="false">$B274&amp;"_"&amp;TEXT($F274,"yyyymmdd")</f>
        <v>NV002_20260622</v>
      </c>
      <c r="U274" s="9" t="str">
        <f aca="false">VLOOKUP($P274,DM_TRANG_THAI!$A$4:$B$9,2,FALSE())</f>
        <v>L</v>
      </c>
    </row>
    <row r="275" customFormat="false" ht="15.75" hidden="false" customHeight="true" outlineLevel="0" collapsed="false">
      <c r="A275" s="9" t="n">
        <v>272</v>
      </c>
      <c r="B275" s="9" t="s">
        <v>30</v>
      </c>
      <c r="C275" s="10" t="str">
        <f aca="false">VLOOKUP($B275,DM_NHAN_VIEN!$B$4:$F$18,2,FALSE())</f>
        <v>Trần Thị Nhân Sự</v>
      </c>
      <c r="D275" s="9" t="str">
        <f aca="false">VLOOKUP($B275,DM_NHAN_VIEN!$B$4:$F$18,3,FALSE())</f>
        <v>Nhân sự</v>
      </c>
      <c r="E275" s="9" t="str">
        <f aca="false">VLOOKUP($B275,DM_NHAN_VIEN!$B$4:$F$18,4,FALSE())</f>
        <v>Trưởng phòng</v>
      </c>
      <c r="F275" s="18" t="n">
        <v>46195</v>
      </c>
      <c r="G275" s="9" t="str">
        <f aca="false">CHOOSE(WEEKDAY(F275,2),"Thứ Hai","Thứ Ba","Thứ Tư","Thứ Năm","Thứ Sáu","Thứ Bảy","Chủ Nhật")</f>
        <v>Thứ Hai</v>
      </c>
      <c r="H275" s="9" t="str">
        <f aca="false">VLOOKUP($B275,DM_NHAN_VIEN!$B$4:$F$18,5,FALSE())</f>
        <v>Ca Hành Chính</v>
      </c>
      <c r="I275" s="9" t="str">
        <f aca="false">VLOOKUP($H275,DM_CA_LAM!$A$4:$C$6,2,FALSE())</f>
        <v>07:30</v>
      </c>
      <c r="J275" s="9" t="str">
        <f aca="false">VLOOKUP($H275,DM_CA_LAM!$A$4:$C$6,3,FALSE())</f>
        <v>17:30</v>
      </c>
      <c r="K275" s="9" t="s">
        <v>147</v>
      </c>
      <c r="L275" s="9" t="s">
        <v>166</v>
      </c>
      <c r="M275" s="9" t="n">
        <f aca="false">IF($K275="","",MAX(0,ROUND((TIMEVALUE($K275)-TIMEVALUE($I275))*1440,0)))</f>
        <v>0</v>
      </c>
      <c r="N275" s="9" t="n">
        <f aca="false">IF($L275="","",MAX(0,ROUND((TIMEVALUE($J275)-TIMEVALUE($L275))*1440,0)))</f>
        <v>0</v>
      </c>
      <c r="O275" s="9" t="n">
        <f aca="false">IF(OR($K275="",$L275=""),0,ROUND(VLOOKUP($H275,DM_CA_LAM!$A$4:$F$6,6,FALSE())-$M275/60-$N275/60,2))</f>
        <v>8</v>
      </c>
      <c r="P275" s="9" t="s">
        <v>108</v>
      </c>
      <c r="Q275" s="9" t="n">
        <v>0</v>
      </c>
      <c r="R275" s="10"/>
      <c r="S275" s="10"/>
      <c r="T275" s="9" t="str">
        <f aca="false">$B275&amp;"_"&amp;TEXT($F275,"yyyymmdd")</f>
        <v>NV003_20260622</v>
      </c>
      <c r="U275" s="9" t="str">
        <f aca="false">VLOOKUP($P275,DM_TRANG_THAI!$A$4:$B$9,2,FALSE())</f>
        <v>P</v>
      </c>
    </row>
    <row r="276" customFormat="false" ht="15.75" hidden="false" customHeight="true" outlineLevel="0" collapsed="false">
      <c r="A276" s="9" t="n">
        <v>273</v>
      </c>
      <c r="B276" s="9" t="s">
        <v>35</v>
      </c>
      <c r="C276" s="10" t="str">
        <f aca="false">VLOOKUP($B276,DM_NHAN_VIEN!$B$4:$F$18,2,FALSE())</f>
        <v>Lê Văn Quản Đốc</v>
      </c>
      <c r="D276" s="9" t="str">
        <f aca="false">VLOOKUP($B276,DM_NHAN_VIEN!$B$4:$F$18,3,FALSE())</f>
        <v>Xưởng sản xuất</v>
      </c>
      <c r="E276" s="9" t="str">
        <f aca="false">VLOOKUP($B276,DM_NHAN_VIEN!$B$4:$F$18,4,FALSE())</f>
        <v>Quản đốc</v>
      </c>
      <c r="F276" s="18" t="n">
        <v>46195</v>
      </c>
      <c r="G276" s="9" t="str">
        <f aca="false">CHOOSE(WEEKDAY(F276,2),"Thứ Hai","Thứ Ba","Thứ Tư","Thứ Năm","Thứ Sáu","Thứ Bảy","Chủ Nhật")</f>
        <v>Thứ Hai</v>
      </c>
      <c r="H276" s="9" t="str">
        <f aca="false">VLOOKUP($B276,DM_NHAN_VIEN!$B$4:$F$18,5,FALSE())</f>
        <v>Ca Hành Chính</v>
      </c>
      <c r="I276" s="9" t="str">
        <f aca="false">VLOOKUP($H276,DM_CA_LAM!$A$4:$C$6,2,FALSE())</f>
        <v>07:30</v>
      </c>
      <c r="J276" s="9" t="str">
        <f aca="false">VLOOKUP($H276,DM_CA_LAM!$A$4:$C$6,3,FALSE())</f>
        <v>17:30</v>
      </c>
      <c r="K276" s="9" t="s">
        <v>147</v>
      </c>
      <c r="L276" s="9" t="s">
        <v>164</v>
      </c>
      <c r="M276" s="9" t="n">
        <f aca="false">IF($K276="","",MAX(0,ROUND((TIMEVALUE($K276)-TIMEVALUE($I276))*1440,0)))</f>
        <v>0</v>
      </c>
      <c r="N276" s="9" t="n">
        <f aca="false">IF($L276="","",MAX(0,ROUND((TIMEVALUE($J276)-TIMEVALUE($L276))*1440,0)))</f>
        <v>0</v>
      </c>
      <c r="O276" s="9" t="n">
        <f aca="false">IF(OR($K276="",$L276=""),0,ROUND(VLOOKUP($H276,DM_CA_LAM!$A$4:$F$6,6,FALSE())-$M276/60-$N276/60,2))</f>
        <v>8</v>
      </c>
      <c r="P276" s="9" t="s">
        <v>108</v>
      </c>
      <c r="Q276" s="9" t="n">
        <v>0</v>
      </c>
      <c r="R276" s="10"/>
      <c r="S276" s="10"/>
      <c r="T276" s="9" t="str">
        <f aca="false">$B276&amp;"_"&amp;TEXT($F276,"yyyymmdd")</f>
        <v>NV004_20260622</v>
      </c>
      <c r="U276" s="9" t="str">
        <f aca="false">VLOOKUP($P276,DM_TRANG_THAI!$A$4:$B$9,2,FALSE())</f>
        <v>P</v>
      </c>
    </row>
    <row r="277" customFormat="false" ht="15.75" hidden="false" customHeight="true" outlineLevel="0" collapsed="false">
      <c r="A277" s="9" t="n">
        <v>274</v>
      </c>
      <c r="B277" s="9" t="s">
        <v>40</v>
      </c>
      <c r="C277" s="10" t="str">
        <f aca="false">VLOOKUP($B277,DM_NHAN_VIEN!$B$4:$F$18,2,FALSE())</f>
        <v>Phạm Công Nhân</v>
      </c>
      <c r="D277" s="9" t="str">
        <f aca="false">VLOOKUP($B277,DM_NHAN_VIEN!$B$4:$F$18,3,FALSE())</f>
        <v>Xưởng sản xuất</v>
      </c>
      <c r="E277" s="9" t="str">
        <f aca="false">VLOOKUP($B277,DM_NHAN_VIEN!$B$4:$F$18,4,FALSE())</f>
        <v>Công nhân</v>
      </c>
      <c r="F277" s="18" t="n">
        <v>46195</v>
      </c>
      <c r="G277" s="9" t="str">
        <f aca="false">CHOOSE(WEEKDAY(F277,2),"Thứ Hai","Thứ Ba","Thứ Tư","Thứ Năm","Thứ Sáu","Thứ Bảy","Chủ Nhật")</f>
        <v>Thứ Hai</v>
      </c>
      <c r="H277" s="9" t="str">
        <f aca="false">VLOOKUP($B277,DM_NHAN_VIEN!$B$4:$F$18,5,FALSE())</f>
        <v>Ca Hành Chính</v>
      </c>
      <c r="I277" s="9" t="str">
        <f aca="false">VLOOKUP($H277,DM_CA_LAM!$A$4:$C$6,2,FALSE())</f>
        <v>07:30</v>
      </c>
      <c r="J277" s="9" t="str">
        <f aca="false">VLOOKUP($H277,DM_CA_LAM!$A$4:$C$6,3,FALSE())</f>
        <v>17:30</v>
      </c>
      <c r="K277" s="9" t="s">
        <v>156</v>
      </c>
      <c r="L277" s="9" t="s">
        <v>166</v>
      </c>
      <c r="M277" s="9" t="n">
        <f aca="false">IF($K277="","",MAX(0,ROUND((TIMEVALUE($K277)-TIMEVALUE($I277))*1440,0)))</f>
        <v>0</v>
      </c>
      <c r="N277" s="9" t="n">
        <f aca="false">IF($L277="","",MAX(0,ROUND((TIMEVALUE($J277)-TIMEVALUE($L277))*1440,0)))</f>
        <v>0</v>
      </c>
      <c r="O277" s="9" t="n">
        <f aca="false">IF(OR($K277="",$L277=""),0,ROUND(VLOOKUP($H277,DM_CA_LAM!$A$4:$F$6,6,FALSE())-$M277/60-$N277/60,2))</f>
        <v>8</v>
      </c>
      <c r="P277" s="9" t="s">
        <v>108</v>
      </c>
      <c r="Q277" s="9" t="n">
        <v>1.5</v>
      </c>
      <c r="R277" s="10" t="s">
        <v>179</v>
      </c>
      <c r="S277" s="10"/>
      <c r="T277" s="9" t="str">
        <f aca="false">$B277&amp;"_"&amp;TEXT($F277,"yyyymmdd")</f>
        <v>NV005_20260622</v>
      </c>
      <c r="U277" s="9" t="str">
        <f aca="false">VLOOKUP($P277,DM_TRANG_THAI!$A$4:$B$9,2,FALSE())</f>
        <v>P</v>
      </c>
    </row>
    <row r="278" customFormat="false" ht="15.75" hidden="false" customHeight="true" outlineLevel="0" collapsed="false">
      <c r="A278" s="9" t="n">
        <v>275</v>
      </c>
      <c r="B278" s="9" t="s">
        <v>44</v>
      </c>
      <c r="C278" s="10" t="str">
        <f aca="false">VLOOKUP($B278,DM_NHAN_VIEN!$B$4:$F$18,2,FALSE())</f>
        <v>Đỗ Thị Hà</v>
      </c>
      <c r="D278" s="9" t="str">
        <f aca="false">VLOOKUP($B278,DM_NHAN_VIEN!$B$4:$F$18,3,FALSE())</f>
        <v>Hành chính</v>
      </c>
      <c r="E278" s="9" t="str">
        <f aca="false">VLOOKUP($B278,DM_NHAN_VIEN!$B$4:$F$18,4,FALSE())</f>
        <v>Trưởng phòng</v>
      </c>
      <c r="F278" s="18" t="n">
        <v>46195</v>
      </c>
      <c r="G278" s="9" t="str">
        <f aca="false">CHOOSE(WEEKDAY(F278,2),"Thứ Hai","Thứ Ba","Thứ Tư","Thứ Năm","Thứ Sáu","Thứ Bảy","Chủ Nhật")</f>
        <v>Thứ Hai</v>
      </c>
      <c r="H278" s="9" t="str">
        <f aca="false">VLOOKUP($B278,DM_NHAN_VIEN!$B$4:$F$18,5,FALSE())</f>
        <v>Ca Hành Chính</v>
      </c>
      <c r="I278" s="9" t="str">
        <f aca="false">VLOOKUP($H278,DM_CA_LAM!$A$4:$C$6,2,FALSE())</f>
        <v>07:30</v>
      </c>
      <c r="J278" s="9" t="str">
        <f aca="false">VLOOKUP($H278,DM_CA_LAM!$A$4:$C$6,3,FALSE())</f>
        <v>17:30</v>
      </c>
      <c r="K278" s="9" t="s">
        <v>167</v>
      </c>
      <c r="L278" s="9" t="s">
        <v>146</v>
      </c>
      <c r="M278" s="9" t="n">
        <f aca="false">IF($K278="","",MAX(0,ROUND((TIMEVALUE($K278)-TIMEVALUE($I278))*1440,0)))</f>
        <v>0</v>
      </c>
      <c r="N278" s="9" t="n">
        <f aca="false">IF($L278="","",MAX(0,ROUND((TIMEVALUE($J278)-TIMEVALUE($L278))*1440,0)))</f>
        <v>0</v>
      </c>
      <c r="O278" s="9" t="n">
        <f aca="false">IF(OR($K278="",$L278=""),0,ROUND(VLOOKUP($H278,DM_CA_LAM!$A$4:$F$6,6,FALSE())-$M278/60-$N278/60,2))</f>
        <v>8</v>
      </c>
      <c r="P278" s="9" t="s">
        <v>108</v>
      </c>
      <c r="Q278" s="9" t="n">
        <v>0</v>
      </c>
      <c r="R278" s="10"/>
      <c r="S278" s="10"/>
      <c r="T278" s="9" t="str">
        <f aca="false">$B278&amp;"_"&amp;TEXT($F278,"yyyymmdd")</f>
        <v>NV006_20260622</v>
      </c>
      <c r="U278" s="9" t="str">
        <f aca="false">VLOOKUP($P278,DM_TRANG_THAI!$A$4:$B$9,2,FALSE())</f>
        <v>P</v>
      </c>
    </row>
    <row r="279" customFormat="false" ht="15.75" hidden="false" customHeight="true" outlineLevel="0" collapsed="false">
      <c r="A279" s="9" t="n">
        <v>276</v>
      </c>
      <c r="B279" s="9" t="s">
        <v>47</v>
      </c>
      <c r="C279" s="10" t="str">
        <f aca="false">VLOOKUP($B279,DM_NHAN_VIEN!$B$4:$F$18,2,FALSE())</f>
        <v>Ngô Văn Tài</v>
      </c>
      <c r="D279" s="9" t="str">
        <f aca="false">VLOOKUP($B279,DM_NHAN_VIEN!$B$4:$F$18,3,FALSE())</f>
        <v>Hành chính</v>
      </c>
      <c r="E279" s="9" t="str">
        <f aca="false">VLOOKUP($B279,DM_NHAN_VIEN!$B$4:$F$18,4,FALSE())</f>
        <v>Phó phòng</v>
      </c>
      <c r="F279" s="18" t="n">
        <v>46195</v>
      </c>
      <c r="G279" s="9" t="str">
        <f aca="false">CHOOSE(WEEKDAY(F279,2),"Thứ Hai","Thứ Ba","Thứ Tư","Thứ Năm","Thứ Sáu","Thứ Bảy","Chủ Nhật")</f>
        <v>Thứ Hai</v>
      </c>
      <c r="H279" s="9" t="str">
        <f aca="false">VLOOKUP($B279,DM_NHAN_VIEN!$B$4:$F$18,5,FALSE())</f>
        <v>Ca Hành Chính</v>
      </c>
      <c r="I279" s="9" t="str">
        <f aca="false">VLOOKUP($H279,DM_CA_LAM!$A$4:$C$6,2,FALSE())</f>
        <v>07:30</v>
      </c>
      <c r="J279" s="9" t="str">
        <f aca="false">VLOOKUP($H279,DM_CA_LAM!$A$4:$C$6,3,FALSE())</f>
        <v>17:30</v>
      </c>
      <c r="K279" s="9"/>
      <c r="L279" s="9"/>
      <c r="M279" s="9" t="str">
        <f aca="false">IF($K279="","",MAX(0,ROUND((TIMEVALUE($K279)-TIMEVALUE($I279))*1440,0)))</f>
        <v/>
      </c>
      <c r="N279" s="9" t="str">
        <f aca="false">IF($L279="","",MAX(0,ROUND((TIMEVALUE($J279)-TIMEVALUE($L279))*1440,0)))</f>
        <v/>
      </c>
      <c r="O279" s="9" t="n">
        <f aca="false">IF(OR($K279="",$L279=""),0,ROUND(VLOOKUP($H279,DM_CA_LAM!$A$4:$F$6,6,FALSE())-$M279/60-$N279/60,2))</f>
        <v>0</v>
      </c>
      <c r="P279" s="9" t="s">
        <v>117</v>
      </c>
      <c r="Q279" s="9" t="n">
        <v>0</v>
      </c>
      <c r="R279" s="10"/>
      <c r="S279" s="10"/>
      <c r="T279" s="9" t="str">
        <f aca="false">$B279&amp;"_"&amp;TEXT($F279,"yyyymmdd")</f>
        <v>NV007_20260622</v>
      </c>
      <c r="U279" s="9" t="str">
        <f aca="false">VLOOKUP($P279,DM_TRANG_THAI!$A$4:$B$9,2,FALSE())</f>
        <v>NP</v>
      </c>
    </row>
    <row r="280" customFormat="false" ht="15.75" hidden="false" customHeight="true" outlineLevel="0" collapsed="false">
      <c r="A280" s="9" t="n">
        <v>277</v>
      </c>
      <c r="B280" s="9" t="s">
        <v>51</v>
      </c>
      <c r="C280" s="10" t="str">
        <f aca="false">VLOOKUP($B280,DM_NHAN_VIEN!$B$4:$F$18,2,FALSE())</f>
        <v>Vũ Thị Nga</v>
      </c>
      <c r="D280" s="9" t="str">
        <f aca="false">VLOOKUP($B280,DM_NHAN_VIEN!$B$4:$F$18,3,FALSE())</f>
        <v>Hành chính</v>
      </c>
      <c r="E280" s="9" t="str">
        <f aca="false">VLOOKUP($B280,DM_NHAN_VIEN!$B$4:$F$18,4,FALSE())</f>
        <v>Chuyên viên</v>
      </c>
      <c r="F280" s="18" t="n">
        <v>46195</v>
      </c>
      <c r="G280" s="9" t="str">
        <f aca="false">CHOOSE(WEEKDAY(F280,2),"Thứ Hai","Thứ Ba","Thứ Tư","Thứ Năm","Thứ Sáu","Thứ Bảy","Chủ Nhật")</f>
        <v>Thứ Hai</v>
      </c>
      <c r="H280" s="9" t="str">
        <f aca="false">VLOOKUP($B280,DM_NHAN_VIEN!$B$4:$F$18,5,FALSE())</f>
        <v>Ca Hành Chính</v>
      </c>
      <c r="I280" s="9" t="str">
        <f aca="false">VLOOKUP($H280,DM_CA_LAM!$A$4:$C$6,2,FALSE())</f>
        <v>07:30</v>
      </c>
      <c r="J280" s="9" t="str">
        <f aca="false">VLOOKUP($H280,DM_CA_LAM!$A$4:$C$6,3,FALSE())</f>
        <v>17:30</v>
      </c>
      <c r="K280" s="9" t="s">
        <v>181</v>
      </c>
      <c r="L280" s="9" t="s">
        <v>144</v>
      </c>
      <c r="M280" s="9" t="n">
        <f aca="false">IF($K280="","",MAX(0,ROUND((TIMEVALUE($K280)-TIMEVALUE($I280))*1440,0)))</f>
        <v>14</v>
      </c>
      <c r="N280" s="9" t="n">
        <f aca="false">IF($L280="","",MAX(0,ROUND((TIMEVALUE($J280)-TIMEVALUE($L280))*1440,0)))</f>
        <v>0</v>
      </c>
      <c r="O280" s="9" t="n">
        <f aca="false">IF(OR($K280="",$L280=""),0,ROUND(VLOOKUP($H280,DM_CA_LAM!$A$4:$F$6,6,FALSE())-$M280/60-$N280/60,2))</f>
        <v>7.77</v>
      </c>
      <c r="P280" s="9" t="s">
        <v>111</v>
      </c>
      <c r="Q280" s="9" t="n">
        <v>0</v>
      </c>
      <c r="R280" s="10"/>
      <c r="S280" s="10" t="s">
        <v>172</v>
      </c>
      <c r="T280" s="9" t="str">
        <f aca="false">$B280&amp;"_"&amp;TEXT($F280,"yyyymmdd")</f>
        <v>NV008_20260622</v>
      </c>
      <c r="U280" s="9" t="str">
        <f aca="false">VLOOKUP($P280,DM_TRANG_THAI!$A$4:$B$9,2,FALSE())</f>
        <v>L</v>
      </c>
    </row>
    <row r="281" customFormat="false" ht="15.75" hidden="false" customHeight="true" outlineLevel="0" collapsed="false">
      <c r="A281" s="9" t="n">
        <v>278</v>
      </c>
      <c r="B281" s="9" t="s">
        <v>55</v>
      </c>
      <c r="C281" s="10" t="str">
        <f aca="false">VLOOKUP($B281,DM_NHAN_VIEN!$B$4:$F$18,2,FALSE())</f>
        <v>Đặng Thị Hồng</v>
      </c>
      <c r="D281" s="9" t="str">
        <f aca="false">VLOOKUP($B281,DM_NHAN_VIEN!$B$4:$F$18,3,FALSE())</f>
        <v>Nhân sự</v>
      </c>
      <c r="E281" s="9" t="str">
        <f aca="false">VLOOKUP($B281,DM_NHAN_VIEN!$B$4:$F$18,4,FALSE())</f>
        <v>Chuyên viên</v>
      </c>
      <c r="F281" s="18" t="n">
        <v>46195</v>
      </c>
      <c r="G281" s="9" t="str">
        <f aca="false">CHOOSE(WEEKDAY(F281,2),"Thứ Hai","Thứ Ba","Thứ Tư","Thứ Năm","Thứ Sáu","Thứ Bảy","Chủ Nhật")</f>
        <v>Thứ Hai</v>
      </c>
      <c r="H281" s="9" t="str">
        <f aca="false">VLOOKUP($B281,DM_NHAN_VIEN!$B$4:$F$18,5,FALSE())</f>
        <v>Ca Hành Chính</v>
      </c>
      <c r="I281" s="9" t="str">
        <f aca="false">VLOOKUP($H281,DM_CA_LAM!$A$4:$C$6,2,FALSE())</f>
        <v>07:30</v>
      </c>
      <c r="J281" s="9" t="str">
        <f aca="false">VLOOKUP($H281,DM_CA_LAM!$A$4:$C$6,3,FALSE())</f>
        <v>17:30</v>
      </c>
      <c r="K281" s="9" t="s">
        <v>142</v>
      </c>
      <c r="L281" s="9" t="s">
        <v>143</v>
      </c>
      <c r="M281" s="9" t="n">
        <f aca="false">IF($K281="","",MAX(0,ROUND((TIMEVALUE($K281)-TIMEVALUE($I281))*1440,0)))</f>
        <v>0</v>
      </c>
      <c r="N281" s="9" t="n">
        <f aca="false">IF($L281="","",MAX(0,ROUND((TIMEVALUE($J281)-TIMEVALUE($L281))*1440,0)))</f>
        <v>0</v>
      </c>
      <c r="O281" s="9" t="n">
        <f aca="false">IF(OR($K281="",$L281=""),0,ROUND(VLOOKUP($H281,DM_CA_LAM!$A$4:$F$6,6,FALSE())-$M281/60-$N281/60,2))</f>
        <v>8</v>
      </c>
      <c r="P281" s="9" t="s">
        <v>108</v>
      </c>
      <c r="Q281" s="9" t="n">
        <v>0</v>
      </c>
      <c r="R281" s="10"/>
      <c r="S281" s="10"/>
      <c r="T281" s="9" t="str">
        <f aca="false">$B281&amp;"_"&amp;TEXT($F281,"yyyymmdd")</f>
        <v>NV010_20260622</v>
      </c>
      <c r="U281" s="9" t="str">
        <f aca="false">VLOOKUP($P281,DM_TRANG_THAI!$A$4:$B$9,2,FALSE())</f>
        <v>P</v>
      </c>
    </row>
    <row r="282" customFormat="false" ht="15.75" hidden="false" customHeight="true" outlineLevel="0" collapsed="false">
      <c r="A282" s="9" t="n">
        <v>279</v>
      </c>
      <c r="B282" s="9" t="s">
        <v>58</v>
      </c>
      <c r="C282" s="10" t="str">
        <f aca="false">VLOOKUP($B282,DM_NHAN_VIEN!$B$4:$F$18,2,FALSE())</f>
        <v>Chu Văn Minh</v>
      </c>
      <c r="D282" s="9" t="str">
        <f aca="false">VLOOKUP($B282,DM_NHAN_VIEN!$B$4:$F$18,3,FALSE())</f>
        <v>Nhân sự</v>
      </c>
      <c r="E282" s="9" t="str">
        <f aca="false">VLOOKUP($B282,DM_NHAN_VIEN!$B$4:$F$18,4,FALSE())</f>
        <v>Chuyên viên</v>
      </c>
      <c r="F282" s="18" t="n">
        <v>46195</v>
      </c>
      <c r="G282" s="9" t="str">
        <f aca="false">CHOOSE(WEEKDAY(F282,2),"Thứ Hai","Thứ Ba","Thứ Tư","Thứ Năm","Thứ Sáu","Thứ Bảy","Chủ Nhật")</f>
        <v>Thứ Hai</v>
      </c>
      <c r="H282" s="9" t="str">
        <f aca="false">VLOOKUP($B282,DM_NHAN_VIEN!$B$4:$F$18,5,FALSE())</f>
        <v>Ca Hành Chính</v>
      </c>
      <c r="I282" s="9" t="str">
        <f aca="false">VLOOKUP($H282,DM_CA_LAM!$A$4:$C$6,2,FALSE())</f>
        <v>07:30</v>
      </c>
      <c r="J282" s="9" t="str">
        <f aca="false">VLOOKUP($H282,DM_CA_LAM!$A$4:$C$6,3,FALSE())</f>
        <v>17:30</v>
      </c>
      <c r="K282" s="9" t="s">
        <v>194</v>
      </c>
      <c r="L282" s="9" t="s">
        <v>144</v>
      </c>
      <c r="M282" s="9" t="n">
        <f aca="false">IF($K282="","",MAX(0,ROUND((TIMEVALUE($K282)-TIMEVALUE($I282))*1440,0)))</f>
        <v>27</v>
      </c>
      <c r="N282" s="9" t="n">
        <f aca="false">IF($L282="","",MAX(0,ROUND((TIMEVALUE($J282)-TIMEVALUE($L282))*1440,0)))</f>
        <v>0</v>
      </c>
      <c r="O282" s="9" t="n">
        <f aca="false">IF(OR($K282="",$L282=""),0,ROUND(VLOOKUP($H282,DM_CA_LAM!$A$4:$F$6,6,FALSE())-$M282/60-$N282/60,2))</f>
        <v>7.55</v>
      </c>
      <c r="P282" s="9" t="s">
        <v>111</v>
      </c>
      <c r="Q282" s="9" t="n">
        <v>0</v>
      </c>
      <c r="R282" s="10"/>
      <c r="S282" s="10"/>
      <c r="T282" s="9" t="str">
        <f aca="false">$B282&amp;"_"&amp;TEXT($F282,"yyyymmdd")</f>
        <v>NV011_20260622</v>
      </c>
      <c r="U282" s="9" t="str">
        <f aca="false">VLOOKUP($P282,DM_TRANG_THAI!$A$4:$B$9,2,FALSE())</f>
        <v>L</v>
      </c>
    </row>
    <row r="283" customFormat="false" ht="15.75" hidden="false" customHeight="true" outlineLevel="0" collapsed="false">
      <c r="A283" s="9" t="n">
        <v>280</v>
      </c>
      <c r="B283" s="9" t="s">
        <v>61</v>
      </c>
      <c r="C283" s="10" t="str">
        <f aca="false">VLOOKUP($B283,DM_NHAN_VIEN!$B$4:$F$18,2,FALSE())</f>
        <v>Phan Thị Khánh</v>
      </c>
      <c r="D283" s="9" t="str">
        <f aca="false">VLOOKUP($B283,DM_NHAN_VIEN!$B$4:$F$18,3,FALSE())</f>
        <v>Kế toán</v>
      </c>
      <c r="E283" s="9" t="str">
        <f aca="false">VLOOKUP($B283,DM_NHAN_VIEN!$B$4:$F$18,4,FALSE())</f>
        <v>Trưởng phòng</v>
      </c>
      <c r="F283" s="18" t="n">
        <v>46195</v>
      </c>
      <c r="G283" s="9" t="str">
        <f aca="false">CHOOSE(WEEKDAY(F283,2),"Thứ Hai","Thứ Ba","Thứ Tư","Thứ Năm","Thứ Sáu","Thứ Bảy","Chủ Nhật")</f>
        <v>Thứ Hai</v>
      </c>
      <c r="H283" s="9" t="str">
        <f aca="false">VLOOKUP($B283,DM_NHAN_VIEN!$B$4:$F$18,5,FALSE())</f>
        <v>Ca Hành Chính</v>
      </c>
      <c r="I283" s="9" t="str">
        <f aca="false">VLOOKUP($H283,DM_CA_LAM!$A$4:$C$6,2,FALSE())</f>
        <v>07:30</v>
      </c>
      <c r="J283" s="9" t="str">
        <f aca="false">VLOOKUP($H283,DM_CA_LAM!$A$4:$C$6,3,FALSE())</f>
        <v>17:30</v>
      </c>
      <c r="K283" s="9" t="s">
        <v>92</v>
      </c>
      <c r="L283" s="9" t="s">
        <v>153</v>
      </c>
      <c r="M283" s="9" t="n">
        <f aca="false">IF($K283="","",MAX(0,ROUND((TIMEVALUE($K283)-TIMEVALUE($I283))*1440,0)))</f>
        <v>0</v>
      </c>
      <c r="N283" s="9" t="n">
        <f aca="false">IF($L283="","",MAX(0,ROUND((TIMEVALUE($J283)-TIMEVALUE($L283))*1440,0)))</f>
        <v>0</v>
      </c>
      <c r="O283" s="9" t="n">
        <f aca="false">IF(OR($K283="",$L283=""),0,ROUND(VLOOKUP($H283,DM_CA_LAM!$A$4:$F$6,6,FALSE())-$M283/60-$N283/60,2))</f>
        <v>8</v>
      </c>
      <c r="P283" s="9" t="s">
        <v>108</v>
      </c>
      <c r="Q283" s="9" t="n">
        <v>0</v>
      </c>
      <c r="R283" s="10"/>
      <c r="S283" s="10"/>
      <c r="T283" s="9" t="str">
        <f aca="false">$B283&amp;"_"&amp;TEXT($F283,"yyyymmdd")</f>
        <v>NV014_20260622</v>
      </c>
      <c r="U283" s="9" t="str">
        <f aca="false">VLOOKUP($P283,DM_TRANG_THAI!$A$4:$B$9,2,FALSE())</f>
        <v>P</v>
      </c>
    </row>
    <row r="284" customFormat="false" ht="15.75" hidden="false" customHeight="true" outlineLevel="0" collapsed="false">
      <c r="A284" s="9" t="n">
        <v>281</v>
      </c>
      <c r="B284" s="9" t="s">
        <v>65</v>
      </c>
      <c r="C284" s="10" t="str">
        <f aca="false">VLOOKUP($B284,DM_NHAN_VIEN!$B$4:$F$18,2,FALSE())</f>
        <v>Trịnh Văn Hùng</v>
      </c>
      <c r="D284" s="9" t="str">
        <f aca="false">VLOOKUP($B284,DM_NHAN_VIEN!$B$4:$F$18,3,FALSE())</f>
        <v>Kế toán</v>
      </c>
      <c r="E284" s="9" t="str">
        <f aca="false">VLOOKUP($B284,DM_NHAN_VIEN!$B$4:$F$18,4,FALSE())</f>
        <v>Phó phòng</v>
      </c>
      <c r="F284" s="18" t="n">
        <v>46195</v>
      </c>
      <c r="G284" s="9" t="str">
        <f aca="false">CHOOSE(WEEKDAY(F284,2),"Thứ Hai","Thứ Ba","Thứ Tư","Thứ Năm","Thứ Sáu","Thứ Bảy","Chủ Nhật")</f>
        <v>Thứ Hai</v>
      </c>
      <c r="H284" s="9" t="str">
        <f aca="false">VLOOKUP($B284,DM_NHAN_VIEN!$B$4:$F$18,5,FALSE())</f>
        <v>Ca Hành Chính</v>
      </c>
      <c r="I284" s="9" t="str">
        <f aca="false">VLOOKUP($H284,DM_CA_LAM!$A$4:$C$6,2,FALSE())</f>
        <v>07:30</v>
      </c>
      <c r="J284" s="9" t="str">
        <f aca="false">VLOOKUP($H284,DM_CA_LAM!$A$4:$C$6,3,FALSE())</f>
        <v>17:30</v>
      </c>
      <c r="K284" s="9"/>
      <c r="L284" s="9"/>
      <c r="M284" s="9" t="str">
        <f aca="false">IF($K284="","",MAX(0,ROUND((TIMEVALUE($K284)-TIMEVALUE($I284))*1440,0)))</f>
        <v/>
      </c>
      <c r="N284" s="9" t="str">
        <f aca="false">IF($L284="","",MAX(0,ROUND((TIMEVALUE($J284)-TIMEVALUE($L284))*1440,0)))</f>
        <v/>
      </c>
      <c r="O284" s="9" t="n">
        <f aca="false">IF(OR($K284="",$L284=""),0,ROUND(VLOOKUP($H284,DM_CA_LAM!$A$4:$F$6,6,FALSE())-$M284/60-$N284/60,2))</f>
        <v>0</v>
      </c>
      <c r="P284" s="9" t="s">
        <v>120</v>
      </c>
      <c r="Q284" s="9" t="n">
        <v>0</v>
      </c>
      <c r="R284" s="10"/>
      <c r="S284" s="10"/>
      <c r="T284" s="9" t="str">
        <f aca="false">$B284&amp;"_"&amp;TEXT($F284,"yyyymmdd")</f>
        <v>NV015_20260622</v>
      </c>
      <c r="U284" s="9" t="str">
        <f aca="false">VLOOKUP($P284,DM_TRANG_THAI!$A$4:$B$9,2,FALSE())</f>
        <v>KL</v>
      </c>
    </row>
    <row r="285" customFormat="false" ht="15.75" hidden="false" customHeight="true" outlineLevel="0" collapsed="false">
      <c r="A285" s="9" t="n">
        <v>282</v>
      </c>
      <c r="B285" s="9" t="s">
        <v>68</v>
      </c>
      <c r="C285" s="10" t="str">
        <f aca="false">VLOOKUP($B285,DM_NHAN_VIEN!$B$4:$F$18,2,FALSE())</f>
        <v>Hoàng Văn Lộc</v>
      </c>
      <c r="D285" s="9" t="str">
        <f aca="false">VLOOKUP($B285,DM_NHAN_VIEN!$B$4:$F$18,3,FALSE())</f>
        <v>Kinh doanh</v>
      </c>
      <c r="E285" s="9" t="str">
        <f aca="false">VLOOKUP($B285,DM_NHAN_VIEN!$B$4:$F$18,4,FALSE())</f>
        <v>Trưởng phòng</v>
      </c>
      <c r="F285" s="18" t="n">
        <v>46195</v>
      </c>
      <c r="G285" s="9" t="str">
        <f aca="false">CHOOSE(WEEKDAY(F285,2),"Thứ Hai","Thứ Ba","Thứ Tư","Thứ Năm","Thứ Sáu","Thứ Bảy","Chủ Nhật")</f>
        <v>Thứ Hai</v>
      </c>
      <c r="H285" s="9" t="str">
        <f aca="false">VLOOKUP($B285,DM_NHAN_VIEN!$B$4:$F$18,5,FALSE())</f>
        <v>Ca Hành Chính</v>
      </c>
      <c r="I285" s="9" t="str">
        <f aca="false">VLOOKUP($H285,DM_CA_LAM!$A$4:$C$6,2,FALSE())</f>
        <v>07:30</v>
      </c>
      <c r="J285" s="9" t="str">
        <f aca="false">VLOOKUP($H285,DM_CA_LAM!$A$4:$C$6,3,FALSE())</f>
        <v>17:30</v>
      </c>
      <c r="K285" s="9" t="s">
        <v>156</v>
      </c>
      <c r="L285" s="9" t="s">
        <v>153</v>
      </c>
      <c r="M285" s="9" t="n">
        <f aca="false">IF($K285="","",MAX(0,ROUND((TIMEVALUE($K285)-TIMEVALUE($I285))*1440,0)))</f>
        <v>0</v>
      </c>
      <c r="N285" s="9" t="n">
        <f aca="false">IF($L285="","",MAX(0,ROUND((TIMEVALUE($J285)-TIMEVALUE($L285))*1440,0)))</f>
        <v>0</v>
      </c>
      <c r="O285" s="9" t="n">
        <f aca="false">IF(OR($K285="",$L285=""),0,ROUND(VLOOKUP($H285,DM_CA_LAM!$A$4:$F$6,6,FALSE())-$M285/60-$N285/60,2))</f>
        <v>8</v>
      </c>
      <c r="P285" s="9" t="s">
        <v>108</v>
      </c>
      <c r="Q285" s="9" t="n">
        <v>0</v>
      </c>
      <c r="R285" s="10"/>
      <c r="S285" s="10"/>
      <c r="T285" s="9" t="str">
        <f aca="false">$B285&amp;"_"&amp;TEXT($F285,"yyyymmdd")</f>
        <v>NV019_20260622</v>
      </c>
      <c r="U285" s="9" t="str">
        <f aca="false">VLOOKUP($P285,DM_TRANG_THAI!$A$4:$B$9,2,FALSE())</f>
        <v>P</v>
      </c>
    </row>
    <row r="286" customFormat="false" ht="15.75" hidden="false" customHeight="true" outlineLevel="0" collapsed="false">
      <c r="A286" s="9" t="n">
        <v>283</v>
      </c>
      <c r="B286" s="9" t="s">
        <v>72</v>
      </c>
      <c r="C286" s="10" t="str">
        <f aca="false">VLOOKUP($B286,DM_NHAN_VIEN!$B$4:$F$18,2,FALSE())</f>
        <v>Nguyễn Văn Phú</v>
      </c>
      <c r="D286" s="9" t="str">
        <f aca="false">VLOOKUP($B286,DM_NHAN_VIEN!$B$4:$F$18,3,FALSE())</f>
        <v>Kinh doanh</v>
      </c>
      <c r="E286" s="9" t="str">
        <f aca="false">VLOOKUP($B286,DM_NHAN_VIEN!$B$4:$F$18,4,FALSE())</f>
        <v>Nhân viên</v>
      </c>
      <c r="F286" s="18" t="n">
        <v>46195</v>
      </c>
      <c r="G286" s="9" t="str">
        <f aca="false">CHOOSE(WEEKDAY(F286,2),"Thứ Hai","Thứ Ba","Thứ Tư","Thứ Năm","Thứ Sáu","Thứ Bảy","Chủ Nhật")</f>
        <v>Thứ Hai</v>
      </c>
      <c r="H286" s="9" t="str">
        <f aca="false">VLOOKUP($B286,DM_NHAN_VIEN!$B$4:$F$18,5,FALSE())</f>
        <v>Ca Hành Chính</v>
      </c>
      <c r="I286" s="9" t="str">
        <f aca="false">VLOOKUP($H286,DM_CA_LAM!$A$4:$C$6,2,FALSE())</f>
        <v>07:30</v>
      </c>
      <c r="J286" s="9" t="str">
        <f aca="false">VLOOKUP($H286,DM_CA_LAM!$A$4:$C$6,3,FALSE())</f>
        <v>17:30</v>
      </c>
      <c r="K286" s="9" t="s">
        <v>158</v>
      </c>
      <c r="L286" s="9" t="s">
        <v>183</v>
      </c>
      <c r="M286" s="9" t="n">
        <f aca="false">IF($K286="","",MAX(0,ROUND((TIMEVALUE($K286)-TIMEVALUE($I286))*1440,0)))</f>
        <v>0</v>
      </c>
      <c r="N286" s="9" t="n">
        <f aca="false">IF($L286="","",MAX(0,ROUND((TIMEVALUE($J286)-TIMEVALUE($L286))*1440,0)))</f>
        <v>0</v>
      </c>
      <c r="O286" s="9" t="n">
        <f aca="false">IF(OR($K286="",$L286=""),0,ROUND(VLOOKUP($H286,DM_CA_LAM!$A$4:$F$6,6,FALSE())-$M286/60-$N286/60,2))</f>
        <v>8</v>
      </c>
      <c r="P286" s="9" t="s">
        <v>108</v>
      </c>
      <c r="Q286" s="9" t="n">
        <v>0</v>
      </c>
      <c r="R286" s="10"/>
      <c r="S286" s="10"/>
      <c r="T286" s="9" t="str">
        <f aca="false">$B286&amp;"_"&amp;TEXT($F286,"yyyymmdd")</f>
        <v>NV021_20260622</v>
      </c>
      <c r="U286" s="9" t="str">
        <f aca="false">VLOOKUP($P286,DM_TRANG_THAI!$A$4:$B$9,2,FALSE())</f>
        <v>P</v>
      </c>
    </row>
    <row r="287" customFormat="false" ht="15.75" hidden="false" customHeight="true" outlineLevel="0" collapsed="false">
      <c r="A287" s="9" t="n">
        <v>284</v>
      </c>
      <c r="B287" s="9" t="s">
        <v>76</v>
      </c>
      <c r="C287" s="10" t="str">
        <f aca="false">VLOOKUP($B287,DM_NHAN_VIEN!$B$4:$F$18,2,FALSE())</f>
        <v>Lý Văn Dũng</v>
      </c>
      <c r="D287" s="9" t="str">
        <f aca="false">VLOOKUP($B287,DM_NHAN_VIEN!$B$4:$F$18,3,FALSE())</f>
        <v>Xưởng sản xuất</v>
      </c>
      <c r="E287" s="9" t="str">
        <f aca="false">VLOOKUP($B287,DM_NHAN_VIEN!$B$4:$F$18,4,FALSE())</f>
        <v>Tổ trưởng</v>
      </c>
      <c r="F287" s="18" t="n">
        <v>46195</v>
      </c>
      <c r="G287" s="9" t="str">
        <f aca="false">CHOOSE(WEEKDAY(F287,2),"Thứ Hai","Thứ Ba","Thứ Tư","Thứ Năm","Thứ Sáu","Thứ Bảy","Chủ Nhật")</f>
        <v>Thứ Hai</v>
      </c>
      <c r="H287" s="9" t="str">
        <f aca="false">VLOOKUP($B287,DM_NHAN_VIEN!$B$4:$F$18,5,FALSE())</f>
        <v>Ca Hành Chính</v>
      </c>
      <c r="I287" s="9" t="str">
        <f aca="false">VLOOKUP($H287,DM_CA_LAM!$A$4:$C$6,2,FALSE())</f>
        <v>07:30</v>
      </c>
      <c r="J287" s="9" t="str">
        <f aca="false">VLOOKUP($H287,DM_CA_LAM!$A$4:$C$6,3,FALSE())</f>
        <v>17:30</v>
      </c>
      <c r="K287" s="9" t="s">
        <v>160</v>
      </c>
      <c r="L287" s="9" t="s">
        <v>164</v>
      </c>
      <c r="M287" s="9" t="n">
        <f aca="false">IF($K287="","",MAX(0,ROUND((TIMEVALUE($K287)-TIMEVALUE($I287))*1440,0)))</f>
        <v>0</v>
      </c>
      <c r="N287" s="9" t="n">
        <f aca="false">IF($L287="","",MAX(0,ROUND((TIMEVALUE($J287)-TIMEVALUE($L287))*1440,0)))</f>
        <v>0</v>
      </c>
      <c r="O287" s="9" t="n">
        <f aca="false">IF(OR($K287="",$L287=""),0,ROUND(VLOOKUP($H287,DM_CA_LAM!$A$4:$F$6,6,FALSE())-$M287/60-$N287/60,2))</f>
        <v>8</v>
      </c>
      <c r="P287" s="9" t="s">
        <v>108</v>
      </c>
      <c r="Q287" s="9" t="n">
        <v>0</v>
      </c>
      <c r="R287" s="10"/>
      <c r="S287" s="10"/>
      <c r="T287" s="9" t="str">
        <f aca="false">$B287&amp;"_"&amp;TEXT($F287,"yyyymmdd")</f>
        <v>NV029_20260622</v>
      </c>
      <c r="U287" s="9" t="str">
        <f aca="false">VLOOKUP($P287,DM_TRANG_THAI!$A$4:$B$9,2,FALSE())</f>
        <v>P</v>
      </c>
    </row>
    <row r="288" customFormat="false" ht="15.75" hidden="false" customHeight="true" outlineLevel="0" collapsed="false">
      <c r="A288" s="9" t="n">
        <v>285</v>
      </c>
      <c r="B288" s="9" t="s">
        <v>80</v>
      </c>
      <c r="C288" s="10" t="str">
        <f aca="false">VLOOKUP($B288,DM_NHAN_VIEN!$B$4:$F$18,2,FALSE())</f>
        <v>Tống Văn Thắng</v>
      </c>
      <c r="D288" s="9" t="str">
        <f aca="false">VLOOKUP($B288,DM_NHAN_VIEN!$B$4:$F$18,3,FALSE())</f>
        <v>Xưởng sản xuất</v>
      </c>
      <c r="E288" s="9" t="str">
        <f aca="false">VLOOKUP($B288,DM_NHAN_VIEN!$B$4:$F$18,4,FALSE())</f>
        <v>Tổ trưởng</v>
      </c>
      <c r="F288" s="18" t="n">
        <v>46195</v>
      </c>
      <c r="G288" s="9" t="str">
        <f aca="false">CHOOSE(WEEKDAY(F288,2),"Thứ Hai","Thứ Ba","Thứ Tư","Thứ Năm","Thứ Sáu","Thứ Bảy","Chủ Nhật")</f>
        <v>Thứ Hai</v>
      </c>
      <c r="H288" s="9" t="str">
        <f aca="false">VLOOKUP($B288,DM_NHAN_VIEN!$B$4:$F$18,5,FALSE())</f>
        <v>Ca Hành Chính</v>
      </c>
      <c r="I288" s="9" t="str">
        <f aca="false">VLOOKUP($H288,DM_CA_LAM!$A$4:$C$6,2,FALSE())</f>
        <v>07:30</v>
      </c>
      <c r="J288" s="9" t="str">
        <f aca="false">VLOOKUP($H288,DM_CA_LAM!$A$4:$C$6,3,FALSE())</f>
        <v>17:30</v>
      </c>
      <c r="K288" s="9" t="s">
        <v>142</v>
      </c>
      <c r="L288" s="9" t="s">
        <v>183</v>
      </c>
      <c r="M288" s="9" t="n">
        <f aca="false">IF($K288="","",MAX(0,ROUND((TIMEVALUE($K288)-TIMEVALUE($I288))*1440,0)))</f>
        <v>0</v>
      </c>
      <c r="N288" s="9" t="n">
        <f aca="false">IF($L288="","",MAX(0,ROUND((TIMEVALUE($J288)-TIMEVALUE($L288))*1440,0)))</f>
        <v>0</v>
      </c>
      <c r="O288" s="9" t="n">
        <f aca="false">IF(OR($K288="",$L288=""),0,ROUND(VLOOKUP($H288,DM_CA_LAM!$A$4:$F$6,6,FALSE())-$M288/60-$N288/60,2))</f>
        <v>8</v>
      </c>
      <c r="P288" s="9" t="s">
        <v>108</v>
      </c>
      <c r="Q288" s="9" t="n">
        <v>0</v>
      </c>
      <c r="R288" s="10"/>
      <c r="S288" s="10"/>
      <c r="T288" s="9" t="str">
        <f aca="false">$B288&amp;"_"&amp;TEXT($F288,"yyyymmdd")</f>
        <v>NV030_20260622</v>
      </c>
      <c r="U288" s="9" t="str">
        <f aca="false">VLOOKUP($P288,DM_TRANG_THAI!$A$4:$B$9,2,FALSE())</f>
        <v>P</v>
      </c>
    </row>
    <row r="289" customFormat="false" ht="15.75" hidden="false" customHeight="true" outlineLevel="0" collapsed="false">
      <c r="A289" s="9" t="n">
        <v>286</v>
      </c>
      <c r="B289" s="9" t="s">
        <v>24</v>
      </c>
      <c r="C289" s="10" t="str">
        <f aca="false">VLOOKUP($B289,DM_NHAN_VIEN!$B$4:$F$18,2,FALSE())</f>
        <v>Nguyễn Văn Giám Đốc</v>
      </c>
      <c r="D289" s="9" t="str">
        <f aca="false">VLOOKUP($B289,DM_NHAN_VIEN!$B$4:$F$18,3,FALSE())</f>
        <v>Hành chính</v>
      </c>
      <c r="E289" s="9" t="str">
        <f aca="false">VLOOKUP($B289,DM_NHAN_VIEN!$B$4:$F$18,4,FALSE())</f>
        <v>Giám đốc</v>
      </c>
      <c r="F289" s="18" t="n">
        <v>46196</v>
      </c>
      <c r="G289" s="9" t="str">
        <f aca="false">CHOOSE(WEEKDAY(F289,2),"Thứ Hai","Thứ Ba","Thứ Tư","Thứ Năm","Thứ Sáu","Thứ Bảy","Chủ Nhật")</f>
        <v>Thứ Ba</v>
      </c>
      <c r="H289" s="9" t="str">
        <f aca="false">VLOOKUP($B289,DM_NHAN_VIEN!$B$4:$F$18,5,FALSE())</f>
        <v>Ca Hành Chính</v>
      </c>
      <c r="I289" s="9" t="str">
        <f aca="false">VLOOKUP($H289,DM_CA_LAM!$A$4:$C$6,2,FALSE())</f>
        <v>07:30</v>
      </c>
      <c r="J289" s="9" t="str">
        <f aca="false">VLOOKUP($H289,DM_CA_LAM!$A$4:$C$6,3,FALSE())</f>
        <v>17:30</v>
      </c>
      <c r="K289" s="9" t="s">
        <v>195</v>
      </c>
      <c r="L289" s="9" t="s">
        <v>153</v>
      </c>
      <c r="M289" s="9" t="n">
        <f aca="false">IF($K289="","",MAX(0,ROUND((TIMEVALUE($K289)-TIMEVALUE($I289))*1440,0)))</f>
        <v>17</v>
      </c>
      <c r="N289" s="9" t="n">
        <f aca="false">IF($L289="","",MAX(0,ROUND((TIMEVALUE($J289)-TIMEVALUE($L289))*1440,0)))</f>
        <v>0</v>
      </c>
      <c r="O289" s="9" t="n">
        <f aca="false">IF(OR($K289="",$L289=""),0,ROUND(VLOOKUP($H289,DM_CA_LAM!$A$4:$F$6,6,FALSE())-$M289/60-$N289/60,2))</f>
        <v>7.72</v>
      </c>
      <c r="P289" s="9" t="s">
        <v>111</v>
      </c>
      <c r="Q289" s="9" t="n">
        <v>0</v>
      </c>
      <c r="R289" s="10"/>
      <c r="S289" s="10" t="s">
        <v>154</v>
      </c>
      <c r="T289" s="9" t="str">
        <f aca="false">$B289&amp;"_"&amp;TEXT($F289,"yyyymmdd")</f>
        <v>NV002_20260623</v>
      </c>
      <c r="U289" s="9" t="str">
        <f aca="false">VLOOKUP($P289,DM_TRANG_THAI!$A$4:$B$9,2,FALSE())</f>
        <v>L</v>
      </c>
    </row>
    <row r="290" customFormat="false" ht="15.75" hidden="false" customHeight="true" outlineLevel="0" collapsed="false">
      <c r="A290" s="9" t="n">
        <v>287</v>
      </c>
      <c r="B290" s="9" t="s">
        <v>30</v>
      </c>
      <c r="C290" s="10" t="str">
        <f aca="false">VLOOKUP($B290,DM_NHAN_VIEN!$B$4:$F$18,2,FALSE())</f>
        <v>Trần Thị Nhân Sự</v>
      </c>
      <c r="D290" s="9" t="str">
        <f aca="false">VLOOKUP($B290,DM_NHAN_VIEN!$B$4:$F$18,3,FALSE())</f>
        <v>Nhân sự</v>
      </c>
      <c r="E290" s="9" t="str">
        <f aca="false">VLOOKUP($B290,DM_NHAN_VIEN!$B$4:$F$18,4,FALSE())</f>
        <v>Trưởng phòng</v>
      </c>
      <c r="F290" s="18" t="n">
        <v>46196</v>
      </c>
      <c r="G290" s="9" t="str">
        <f aca="false">CHOOSE(WEEKDAY(F290,2),"Thứ Hai","Thứ Ba","Thứ Tư","Thứ Năm","Thứ Sáu","Thứ Bảy","Chủ Nhật")</f>
        <v>Thứ Ba</v>
      </c>
      <c r="H290" s="9" t="str">
        <f aca="false">VLOOKUP($B290,DM_NHAN_VIEN!$B$4:$F$18,5,FALSE())</f>
        <v>Ca Hành Chính</v>
      </c>
      <c r="I290" s="9" t="str">
        <f aca="false">VLOOKUP($H290,DM_CA_LAM!$A$4:$C$6,2,FALSE())</f>
        <v>07:30</v>
      </c>
      <c r="J290" s="9" t="str">
        <f aca="false">VLOOKUP($H290,DM_CA_LAM!$A$4:$C$6,3,FALSE())</f>
        <v>17:30</v>
      </c>
      <c r="K290" s="9" t="s">
        <v>92</v>
      </c>
      <c r="L290" s="9" t="s">
        <v>164</v>
      </c>
      <c r="M290" s="9" t="n">
        <f aca="false">IF($K290="","",MAX(0,ROUND((TIMEVALUE($K290)-TIMEVALUE($I290))*1440,0)))</f>
        <v>0</v>
      </c>
      <c r="N290" s="9" t="n">
        <f aca="false">IF($L290="","",MAX(0,ROUND((TIMEVALUE($J290)-TIMEVALUE($L290))*1440,0)))</f>
        <v>0</v>
      </c>
      <c r="O290" s="9" t="n">
        <f aca="false">IF(OR($K290="",$L290=""),0,ROUND(VLOOKUP($H290,DM_CA_LAM!$A$4:$F$6,6,FALSE())-$M290/60-$N290/60,2))</f>
        <v>8</v>
      </c>
      <c r="P290" s="9" t="s">
        <v>108</v>
      </c>
      <c r="Q290" s="9" t="n">
        <v>0</v>
      </c>
      <c r="R290" s="10"/>
      <c r="S290" s="10"/>
      <c r="T290" s="9" t="str">
        <f aca="false">$B290&amp;"_"&amp;TEXT($F290,"yyyymmdd")</f>
        <v>NV003_20260623</v>
      </c>
      <c r="U290" s="9" t="str">
        <f aca="false">VLOOKUP($P290,DM_TRANG_THAI!$A$4:$B$9,2,FALSE())</f>
        <v>P</v>
      </c>
    </row>
    <row r="291" customFormat="false" ht="15.75" hidden="false" customHeight="true" outlineLevel="0" collapsed="false">
      <c r="A291" s="9" t="n">
        <v>288</v>
      </c>
      <c r="B291" s="9" t="s">
        <v>35</v>
      </c>
      <c r="C291" s="10" t="str">
        <f aca="false">VLOOKUP($B291,DM_NHAN_VIEN!$B$4:$F$18,2,FALSE())</f>
        <v>Lê Văn Quản Đốc</v>
      </c>
      <c r="D291" s="9" t="str">
        <f aca="false">VLOOKUP($B291,DM_NHAN_VIEN!$B$4:$F$18,3,FALSE())</f>
        <v>Xưởng sản xuất</v>
      </c>
      <c r="E291" s="9" t="str">
        <f aca="false">VLOOKUP($B291,DM_NHAN_VIEN!$B$4:$F$18,4,FALSE())</f>
        <v>Quản đốc</v>
      </c>
      <c r="F291" s="18" t="n">
        <v>46196</v>
      </c>
      <c r="G291" s="9" t="str">
        <f aca="false">CHOOSE(WEEKDAY(F291,2),"Thứ Hai","Thứ Ba","Thứ Tư","Thứ Năm","Thứ Sáu","Thứ Bảy","Chủ Nhật")</f>
        <v>Thứ Ba</v>
      </c>
      <c r="H291" s="9" t="str">
        <f aca="false">VLOOKUP($B291,DM_NHAN_VIEN!$B$4:$F$18,5,FALSE())</f>
        <v>Ca Hành Chính</v>
      </c>
      <c r="I291" s="9" t="str">
        <f aca="false">VLOOKUP($H291,DM_CA_LAM!$A$4:$C$6,2,FALSE())</f>
        <v>07:30</v>
      </c>
      <c r="J291" s="9" t="str">
        <f aca="false">VLOOKUP($H291,DM_CA_LAM!$A$4:$C$6,3,FALSE())</f>
        <v>17:30</v>
      </c>
      <c r="K291" s="9" t="s">
        <v>147</v>
      </c>
      <c r="L291" s="9" t="s">
        <v>146</v>
      </c>
      <c r="M291" s="9" t="n">
        <f aca="false">IF($K291="","",MAX(0,ROUND((TIMEVALUE($K291)-TIMEVALUE($I291))*1440,0)))</f>
        <v>0</v>
      </c>
      <c r="N291" s="9" t="n">
        <f aca="false">IF($L291="","",MAX(0,ROUND((TIMEVALUE($J291)-TIMEVALUE($L291))*1440,0)))</f>
        <v>0</v>
      </c>
      <c r="O291" s="9" t="n">
        <f aca="false">IF(OR($K291="",$L291=""),0,ROUND(VLOOKUP($H291,DM_CA_LAM!$A$4:$F$6,6,FALSE())-$M291/60-$N291/60,2))</f>
        <v>8</v>
      </c>
      <c r="P291" s="9" t="s">
        <v>108</v>
      </c>
      <c r="Q291" s="9" t="n">
        <v>0</v>
      </c>
      <c r="R291" s="10"/>
      <c r="S291" s="10"/>
      <c r="T291" s="9" t="str">
        <f aca="false">$B291&amp;"_"&amp;TEXT($F291,"yyyymmdd")</f>
        <v>NV004_20260623</v>
      </c>
      <c r="U291" s="9" t="str">
        <f aca="false">VLOOKUP($P291,DM_TRANG_THAI!$A$4:$B$9,2,FALSE())</f>
        <v>P</v>
      </c>
    </row>
    <row r="292" customFormat="false" ht="15.75" hidden="false" customHeight="true" outlineLevel="0" collapsed="false">
      <c r="A292" s="9" t="n">
        <v>289</v>
      </c>
      <c r="B292" s="9" t="s">
        <v>40</v>
      </c>
      <c r="C292" s="10" t="str">
        <f aca="false">VLOOKUP($B292,DM_NHAN_VIEN!$B$4:$F$18,2,FALSE())</f>
        <v>Phạm Công Nhân</v>
      </c>
      <c r="D292" s="9" t="str">
        <f aca="false">VLOOKUP($B292,DM_NHAN_VIEN!$B$4:$F$18,3,FALSE())</f>
        <v>Xưởng sản xuất</v>
      </c>
      <c r="E292" s="9" t="str">
        <f aca="false">VLOOKUP($B292,DM_NHAN_VIEN!$B$4:$F$18,4,FALSE())</f>
        <v>Công nhân</v>
      </c>
      <c r="F292" s="18" t="n">
        <v>46196</v>
      </c>
      <c r="G292" s="9" t="str">
        <f aca="false">CHOOSE(WEEKDAY(F292,2),"Thứ Hai","Thứ Ba","Thứ Tư","Thứ Năm","Thứ Sáu","Thứ Bảy","Chủ Nhật")</f>
        <v>Thứ Ba</v>
      </c>
      <c r="H292" s="9" t="str">
        <f aca="false">VLOOKUP($B292,DM_NHAN_VIEN!$B$4:$F$18,5,FALSE())</f>
        <v>Ca Hành Chính</v>
      </c>
      <c r="I292" s="9" t="str">
        <f aca="false">VLOOKUP($H292,DM_CA_LAM!$A$4:$C$6,2,FALSE())</f>
        <v>07:30</v>
      </c>
      <c r="J292" s="9" t="str">
        <f aca="false">VLOOKUP($H292,DM_CA_LAM!$A$4:$C$6,3,FALSE())</f>
        <v>17:30</v>
      </c>
      <c r="K292" s="9" t="s">
        <v>160</v>
      </c>
      <c r="L292" s="9" t="s">
        <v>143</v>
      </c>
      <c r="M292" s="9" t="n">
        <f aca="false">IF($K292="","",MAX(0,ROUND((TIMEVALUE($K292)-TIMEVALUE($I292))*1440,0)))</f>
        <v>0</v>
      </c>
      <c r="N292" s="9" t="n">
        <f aca="false">IF($L292="","",MAX(0,ROUND((TIMEVALUE($J292)-TIMEVALUE($L292))*1440,0)))</f>
        <v>0</v>
      </c>
      <c r="O292" s="9" t="n">
        <f aca="false">IF(OR($K292="",$L292=""),0,ROUND(VLOOKUP($H292,DM_CA_LAM!$A$4:$F$6,6,FALSE())-$M292/60-$N292/60,2))</f>
        <v>8</v>
      </c>
      <c r="P292" s="9" t="s">
        <v>108</v>
      </c>
      <c r="Q292" s="9" t="n">
        <v>0</v>
      </c>
      <c r="R292" s="10"/>
      <c r="S292" s="10"/>
      <c r="T292" s="9" t="str">
        <f aca="false">$B292&amp;"_"&amp;TEXT($F292,"yyyymmdd")</f>
        <v>NV005_20260623</v>
      </c>
      <c r="U292" s="9" t="str">
        <f aca="false">VLOOKUP($P292,DM_TRANG_THAI!$A$4:$B$9,2,FALSE())</f>
        <v>P</v>
      </c>
    </row>
    <row r="293" customFormat="false" ht="15.75" hidden="false" customHeight="true" outlineLevel="0" collapsed="false">
      <c r="A293" s="9" t="n">
        <v>290</v>
      </c>
      <c r="B293" s="9" t="s">
        <v>44</v>
      </c>
      <c r="C293" s="10" t="str">
        <f aca="false">VLOOKUP($B293,DM_NHAN_VIEN!$B$4:$F$18,2,FALSE())</f>
        <v>Đỗ Thị Hà</v>
      </c>
      <c r="D293" s="9" t="str">
        <f aca="false">VLOOKUP($B293,DM_NHAN_VIEN!$B$4:$F$18,3,FALSE())</f>
        <v>Hành chính</v>
      </c>
      <c r="E293" s="9" t="str">
        <f aca="false">VLOOKUP($B293,DM_NHAN_VIEN!$B$4:$F$18,4,FALSE())</f>
        <v>Trưởng phòng</v>
      </c>
      <c r="F293" s="18" t="n">
        <v>46196</v>
      </c>
      <c r="G293" s="9" t="str">
        <f aca="false">CHOOSE(WEEKDAY(F293,2),"Thứ Hai","Thứ Ba","Thứ Tư","Thứ Năm","Thứ Sáu","Thứ Bảy","Chủ Nhật")</f>
        <v>Thứ Ba</v>
      </c>
      <c r="H293" s="9" t="str">
        <f aca="false">VLOOKUP($B293,DM_NHAN_VIEN!$B$4:$F$18,5,FALSE())</f>
        <v>Ca Hành Chính</v>
      </c>
      <c r="I293" s="9" t="str">
        <f aca="false">VLOOKUP($H293,DM_CA_LAM!$A$4:$C$6,2,FALSE())</f>
        <v>07:30</v>
      </c>
      <c r="J293" s="9" t="str">
        <f aca="false">VLOOKUP($H293,DM_CA_LAM!$A$4:$C$6,3,FALSE())</f>
        <v>17:30</v>
      </c>
      <c r="K293" s="9"/>
      <c r="L293" s="9"/>
      <c r="M293" s="9" t="str">
        <f aca="false">IF($K293="","",MAX(0,ROUND((TIMEVALUE($K293)-TIMEVALUE($I293))*1440,0)))</f>
        <v/>
      </c>
      <c r="N293" s="9" t="str">
        <f aca="false">IF($L293="","",MAX(0,ROUND((TIMEVALUE($J293)-TIMEVALUE($L293))*1440,0)))</f>
        <v/>
      </c>
      <c r="O293" s="9" t="n">
        <f aca="false">IF(OR($K293="",$L293=""),0,ROUND(VLOOKUP($H293,DM_CA_LAM!$A$4:$F$6,6,FALSE())-$M293/60-$N293/60,2))</f>
        <v>0</v>
      </c>
      <c r="P293" s="9" t="s">
        <v>114</v>
      </c>
      <c r="Q293" s="9" t="n">
        <v>0</v>
      </c>
      <c r="R293" s="10"/>
      <c r="S293" s="10"/>
      <c r="T293" s="9" t="str">
        <f aca="false">$B293&amp;"_"&amp;TEXT($F293,"yyyymmdd")</f>
        <v>NV006_20260623</v>
      </c>
      <c r="U293" s="9" t="str">
        <f aca="false">VLOOKUP($P293,DM_TRANG_THAI!$A$4:$B$9,2,FALSE())</f>
        <v>A</v>
      </c>
    </row>
    <row r="294" customFormat="false" ht="15.75" hidden="false" customHeight="true" outlineLevel="0" collapsed="false">
      <c r="A294" s="9" t="n">
        <v>291</v>
      </c>
      <c r="B294" s="9" t="s">
        <v>47</v>
      </c>
      <c r="C294" s="10" t="str">
        <f aca="false">VLOOKUP($B294,DM_NHAN_VIEN!$B$4:$F$18,2,FALSE())</f>
        <v>Ngô Văn Tài</v>
      </c>
      <c r="D294" s="9" t="str">
        <f aca="false">VLOOKUP($B294,DM_NHAN_VIEN!$B$4:$F$18,3,FALSE())</f>
        <v>Hành chính</v>
      </c>
      <c r="E294" s="9" t="str">
        <f aca="false">VLOOKUP($B294,DM_NHAN_VIEN!$B$4:$F$18,4,FALSE())</f>
        <v>Phó phòng</v>
      </c>
      <c r="F294" s="18" t="n">
        <v>46196</v>
      </c>
      <c r="G294" s="9" t="str">
        <f aca="false">CHOOSE(WEEKDAY(F294,2),"Thứ Hai","Thứ Ba","Thứ Tư","Thứ Năm","Thứ Sáu","Thứ Bảy","Chủ Nhật")</f>
        <v>Thứ Ba</v>
      </c>
      <c r="H294" s="9" t="str">
        <f aca="false">VLOOKUP($B294,DM_NHAN_VIEN!$B$4:$F$18,5,FALSE())</f>
        <v>Ca Hành Chính</v>
      </c>
      <c r="I294" s="9" t="str">
        <f aca="false">VLOOKUP($H294,DM_CA_LAM!$A$4:$C$6,2,FALSE())</f>
        <v>07:30</v>
      </c>
      <c r="J294" s="9" t="str">
        <f aca="false">VLOOKUP($H294,DM_CA_LAM!$A$4:$C$6,3,FALSE())</f>
        <v>17:30</v>
      </c>
      <c r="K294" s="9" t="s">
        <v>150</v>
      </c>
      <c r="L294" s="9" t="s">
        <v>159</v>
      </c>
      <c r="M294" s="9" t="n">
        <f aca="false">IF($K294="","",MAX(0,ROUND((TIMEVALUE($K294)-TIMEVALUE($I294))*1440,0)))</f>
        <v>0</v>
      </c>
      <c r="N294" s="9" t="n">
        <f aca="false">IF($L294="","",MAX(0,ROUND((TIMEVALUE($J294)-TIMEVALUE($L294))*1440,0)))</f>
        <v>0</v>
      </c>
      <c r="O294" s="9" t="n">
        <f aca="false">IF(OR($K294="",$L294=""),0,ROUND(VLOOKUP($H294,DM_CA_LAM!$A$4:$F$6,6,FALSE())-$M294/60-$N294/60,2))</f>
        <v>8</v>
      </c>
      <c r="P294" s="9" t="s">
        <v>108</v>
      </c>
      <c r="Q294" s="9" t="n">
        <v>1</v>
      </c>
      <c r="R294" s="10" t="s">
        <v>151</v>
      </c>
      <c r="S294" s="10"/>
      <c r="T294" s="9" t="str">
        <f aca="false">$B294&amp;"_"&amp;TEXT($F294,"yyyymmdd")</f>
        <v>NV007_20260623</v>
      </c>
      <c r="U294" s="9" t="str">
        <f aca="false">VLOOKUP($P294,DM_TRANG_THAI!$A$4:$B$9,2,FALSE())</f>
        <v>P</v>
      </c>
    </row>
    <row r="295" customFormat="false" ht="15.75" hidden="false" customHeight="true" outlineLevel="0" collapsed="false">
      <c r="A295" s="9" t="n">
        <v>292</v>
      </c>
      <c r="B295" s="9" t="s">
        <v>51</v>
      </c>
      <c r="C295" s="10" t="str">
        <f aca="false">VLOOKUP($B295,DM_NHAN_VIEN!$B$4:$F$18,2,FALSE())</f>
        <v>Vũ Thị Nga</v>
      </c>
      <c r="D295" s="9" t="str">
        <f aca="false">VLOOKUP($B295,DM_NHAN_VIEN!$B$4:$F$18,3,FALSE())</f>
        <v>Hành chính</v>
      </c>
      <c r="E295" s="9" t="str">
        <f aca="false">VLOOKUP($B295,DM_NHAN_VIEN!$B$4:$F$18,4,FALSE())</f>
        <v>Chuyên viên</v>
      </c>
      <c r="F295" s="18" t="n">
        <v>46196</v>
      </c>
      <c r="G295" s="9" t="str">
        <f aca="false">CHOOSE(WEEKDAY(F295,2),"Thứ Hai","Thứ Ba","Thứ Tư","Thứ Năm","Thứ Sáu","Thứ Bảy","Chủ Nhật")</f>
        <v>Thứ Ba</v>
      </c>
      <c r="H295" s="9" t="str">
        <f aca="false">VLOOKUP($B295,DM_NHAN_VIEN!$B$4:$F$18,5,FALSE())</f>
        <v>Ca Hành Chính</v>
      </c>
      <c r="I295" s="9" t="str">
        <f aca="false">VLOOKUP($H295,DM_CA_LAM!$A$4:$C$6,2,FALSE())</f>
        <v>07:30</v>
      </c>
      <c r="J295" s="9" t="str">
        <f aca="false">VLOOKUP($H295,DM_CA_LAM!$A$4:$C$6,3,FALSE())</f>
        <v>17:30</v>
      </c>
      <c r="K295" s="9" t="s">
        <v>148</v>
      </c>
      <c r="L295" s="9" t="s">
        <v>153</v>
      </c>
      <c r="M295" s="9" t="n">
        <f aca="false">IF($K295="","",MAX(0,ROUND((TIMEVALUE($K295)-TIMEVALUE($I295))*1440,0)))</f>
        <v>0</v>
      </c>
      <c r="N295" s="9" t="n">
        <f aca="false">IF($L295="","",MAX(0,ROUND((TIMEVALUE($J295)-TIMEVALUE($L295))*1440,0)))</f>
        <v>0</v>
      </c>
      <c r="O295" s="9" t="n">
        <f aca="false">IF(OR($K295="",$L295=""),0,ROUND(VLOOKUP($H295,DM_CA_LAM!$A$4:$F$6,6,FALSE())-$M295/60-$N295/60,2))</f>
        <v>8</v>
      </c>
      <c r="P295" s="9" t="s">
        <v>108</v>
      </c>
      <c r="Q295" s="9" t="n">
        <v>0</v>
      </c>
      <c r="R295" s="10"/>
      <c r="S295" s="10"/>
      <c r="T295" s="9" t="str">
        <f aca="false">$B295&amp;"_"&amp;TEXT($F295,"yyyymmdd")</f>
        <v>NV008_20260623</v>
      </c>
      <c r="U295" s="9" t="str">
        <f aca="false">VLOOKUP($P295,DM_TRANG_THAI!$A$4:$B$9,2,FALSE())</f>
        <v>P</v>
      </c>
    </row>
    <row r="296" customFormat="false" ht="15.75" hidden="false" customHeight="true" outlineLevel="0" collapsed="false">
      <c r="A296" s="9" t="n">
        <v>293</v>
      </c>
      <c r="B296" s="9" t="s">
        <v>55</v>
      </c>
      <c r="C296" s="10" t="str">
        <f aca="false">VLOOKUP($B296,DM_NHAN_VIEN!$B$4:$F$18,2,FALSE())</f>
        <v>Đặng Thị Hồng</v>
      </c>
      <c r="D296" s="9" t="str">
        <f aca="false">VLOOKUP($B296,DM_NHAN_VIEN!$B$4:$F$18,3,FALSE())</f>
        <v>Nhân sự</v>
      </c>
      <c r="E296" s="9" t="str">
        <f aca="false">VLOOKUP($B296,DM_NHAN_VIEN!$B$4:$F$18,4,FALSE())</f>
        <v>Chuyên viên</v>
      </c>
      <c r="F296" s="18" t="n">
        <v>46196</v>
      </c>
      <c r="G296" s="9" t="str">
        <f aca="false">CHOOSE(WEEKDAY(F296,2),"Thứ Hai","Thứ Ba","Thứ Tư","Thứ Năm","Thứ Sáu","Thứ Bảy","Chủ Nhật")</f>
        <v>Thứ Ba</v>
      </c>
      <c r="H296" s="9" t="str">
        <f aca="false">VLOOKUP($B296,DM_NHAN_VIEN!$B$4:$F$18,5,FALSE())</f>
        <v>Ca Hành Chính</v>
      </c>
      <c r="I296" s="9" t="str">
        <f aca="false">VLOOKUP($H296,DM_CA_LAM!$A$4:$C$6,2,FALSE())</f>
        <v>07:30</v>
      </c>
      <c r="J296" s="9" t="str">
        <f aca="false">VLOOKUP($H296,DM_CA_LAM!$A$4:$C$6,3,FALSE())</f>
        <v>17:30</v>
      </c>
      <c r="K296" s="9" t="s">
        <v>150</v>
      </c>
      <c r="L296" s="9" t="s">
        <v>165</v>
      </c>
      <c r="M296" s="9" t="n">
        <f aca="false">IF($K296="","",MAX(0,ROUND((TIMEVALUE($K296)-TIMEVALUE($I296))*1440,0)))</f>
        <v>0</v>
      </c>
      <c r="N296" s="9" t="n">
        <f aca="false">IF($L296="","",MAX(0,ROUND((TIMEVALUE($J296)-TIMEVALUE($L296))*1440,0)))</f>
        <v>0</v>
      </c>
      <c r="O296" s="9" t="n">
        <f aca="false">IF(OR($K296="",$L296=""),0,ROUND(VLOOKUP($H296,DM_CA_LAM!$A$4:$F$6,6,FALSE())-$M296/60-$N296/60,2))</f>
        <v>8</v>
      </c>
      <c r="P296" s="9" t="s">
        <v>108</v>
      </c>
      <c r="Q296" s="9" t="n">
        <v>0</v>
      </c>
      <c r="R296" s="10"/>
      <c r="S296" s="10"/>
      <c r="T296" s="9" t="str">
        <f aca="false">$B296&amp;"_"&amp;TEXT($F296,"yyyymmdd")</f>
        <v>NV010_20260623</v>
      </c>
      <c r="U296" s="9" t="str">
        <f aca="false">VLOOKUP($P296,DM_TRANG_THAI!$A$4:$B$9,2,FALSE())</f>
        <v>P</v>
      </c>
    </row>
    <row r="297" customFormat="false" ht="15.75" hidden="false" customHeight="true" outlineLevel="0" collapsed="false">
      <c r="A297" s="9" t="n">
        <v>294</v>
      </c>
      <c r="B297" s="9" t="s">
        <v>58</v>
      </c>
      <c r="C297" s="10" t="str">
        <f aca="false">VLOOKUP($B297,DM_NHAN_VIEN!$B$4:$F$18,2,FALSE())</f>
        <v>Chu Văn Minh</v>
      </c>
      <c r="D297" s="9" t="str">
        <f aca="false">VLOOKUP($B297,DM_NHAN_VIEN!$B$4:$F$18,3,FALSE())</f>
        <v>Nhân sự</v>
      </c>
      <c r="E297" s="9" t="str">
        <f aca="false">VLOOKUP($B297,DM_NHAN_VIEN!$B$4:$F$18,4,FALSE())</f>
        <v>Chuyên viên</v>
      </c>
      <c r="F297" s="18" t="n">
        <v>46196</v>
      </c>
      <c r="G297" s="9" t="str">
        <f aca="false">CHOOSE(WEEKDAY(F297,2),"Thứ Hai","Thứ Ba","Thứ Tư","Thứ Năm","Thứ Sáu","Thứ Bảy","Chủ Nhật")</f>
        <v>Thứ Ba</v>
      </c>
      <c r="H297" s="9" t="str">
        <f aca="false">VLOOKUP($B297,DM_NHAN_VIEN!$B$4:$F$18,5,FALSE())</f>
        <v>Ca Hành Chính</v>
      </c>
      <c r="I297" s="9" t="str">
        <f aca="false">VLOOKUP($H297,DM_CA_LAM!$A$4:$C$6,2,FALSE())</f>
        <v>07:30</v>
      </c>
      <c r="J297" s="9" t="str">
        <f aca="false">VLOOKUP($H297,DM_CA_LAM!$A$4:$C$6,3,FALSE())</f>
        <v>17:30</v>
      </c>
      <c r="K297" s="9" t="s">
        <v>142</v>
      </c>
      <c r="L297" s="9" t="s">
        <v>146</v>
      </c>
      <c r="M297" s="9" t="n">
        <f aca="false">IF($K297="","",MAX(0,ROUND((TIMEVALUE($K297)-TIMEVALUE($I297))*1440,0)))</f>
        <v>0</v>
      </c>
      <c r="N297" s="9" t="n">
        <f aca="false">IF($L297="","",MAX(0,ROUND((TIMEVALUE($J297)-TIMEVALUE($L297))*1440,0)))</f>
        <v>0</v>
      </c>
      <c r="O297" s="9" t="n">
        <f aca="false">IF(OR($K297="",$L297=""),0,ROUND(VLOOKUP($H297,DM_CA_LAM!$A$4:$F$6,6,FALSE())-$M297/60-$N297/60,2))</f>
        <v>8</v>
      </c>
      <c r="P297" s="9" t="s">
        <v>108</v>
      </c>
      <c r="Q297" s="9" t="n">
        <v>0</v>
      </c>
      <c r="R297" s="10"/>
      <c r="S297" s="10"/>
      <c r="T297" s="9" t="str">
        <f aca="false">$B297&amp;"_"&amp;TEXT($F297,"yyyymmdd")</f>
        <v>NV011_20260623</v>
      </c>
      <c r="U297" s="9" t="str">
        <f aca="false">VLOOKUP($P297,DM_TRANG_THAI!$A$4:$B$9,2,FALSE())</f>
        <v>P</v>
      </c>
    </row>
    <row r="298" customFormat="false" ht="15.75" hidden="false" customHeight="true" outlineLevel="0" collapsed="false">
      <c r="A298" s="9" t="n">
        <v>295</v>
      </c>
      <c r="B298" s="9" t="s">
        <v>61</v>
      </c>
      <c r="C298" s="10" t="str">
        <f aca="false">VLOOKUP($B298,DM_NHAN_VIEN!$B$4:$F$18,2,FALSE())</f>
        <v>Phan Thị Khánh</v>
      </c>
      <c r="D298" s="9" t="str">
        <f aca="false">VLOOKUP($B298,DM_NHAN_VIEN!$B$4:$F$18,3,FALSE())</f>
        <v>Kế toán</v>
      </c>
      <c r="E298" s="9" t="str">
        <f aca="false">VLOOKUP($B298,DM_NHAN_VIEN!$B$4:$F$18,4,FALSE())</f>
        <v>Trưởng phòng</v>
      </c>
      <c r="F298" s="18" t="n">
        <v>46196</v>
      </c>
      <c r="G298" s="9" t="str">
        <f aca="false">CHOOSE(WEEKDAY(F298,2),"Thứ Hai","Thứ Ba","Thứ Tư","Thứ Năm","Thứ Sáu","Thứ Bảy","Chủ Nhật")</f>
        <v>Thứ Ba</v>
      </c>
      <c r="H298" s="9" t="str">
        <f aca="false">VLOOKUP($B298,DM_NHAN_VIEN!$B$4:$F$18,5,FALSE())</f>
        <v>Ca Hành Chính</v>
      </c>
      <c r="I298" s="9" t="str">
        <f aca="false">VLOOKUP($H298,DM_CA_LAM!$A$4:$C$6,2,FALSE())</f>
        <v>07:30</v>
      </c>
      <c r="J298" s="9" t="str">
        <f aca="false">VLOOKUP($H298,DM_CA_LAM!$A$4:$C$6,3,FALSE())</f>
        <v>17:30</v>
      </c>
      <c r="K298" s="9"/>
      <c r="L298" s="9"/>
      <c r="M298" s="9" t="str">
        <f aca="false">IF($K298="","",MAX(0,ROUND((TIMEVALUE($K298)-TIMEVALUE($I298))*1440,0)))</f>
        <v/>
      </c>
      <c r="N298" s="9" t="str">
        <f aca="false">IF($L298="","",MAX(0,ROUND((TIMEVALUE($J298)-TIMEVALUE($L298))*1440,0)))</f>
        <v/>
      </c>
      <c r="O298" s="9" t="n">
        <f aca="false">IF(OR($K298="",$L298=""),0,ROUND(VLOOKUP($H298,DM_CA_LAM!$A$4:$F$6,6,FALSE())-$M298/60-$N298/60,2))</f>
        <v>0</v>
      </c>
      <c r="P298" s="9" t="s">
        <v>114</v>
      </c>
      <c r="Q298" s="9" t="n">
        <v>0</v>
      </c>
      <c r="R298" s="10"/>
      <c r="S298" s="10"/>
      <c r="T298" s="9" t="str">
        <f aca="false">$B298&amp;"_"&amp;TEXT($F298,"yyyymmdd")</f>
        <v>NV014_20260623</v>
      </c>
      <c r="U298" s="9" t="str">
        <f aca="false">VLOOKUP($P298,DM_TRANG_THAI!$A$4:$B$9,2,FALSE())</f>
        <v>A</v>
      </c>
    </row>
    <row r="299" customFormat="false" ht="15.75" hidden="false" customHeight="true" outlineLevel="0" collapsed="false">
      <c r="A299" s="9" t="n">
        <v>296</v>
      </c>
      <c r="B299" s="9" t="s">
        <v>65</v>
      </c>
      <c r="C299" s="10" t="str">
        <f aca="false">VLOOKUP($B299,DM_NHAN_VIEN!$B$4:$F$18,2,FALSE())</f>
        <v>Trịnh Văn Hùng</v>
      </c>
      <c r="D299" s="9" t="str">
        <f aca="false">VLOOKUP($B299,DM_NHAN_VIEN!$B$4:$F$18,3,FALSE())</f>
        <v>Kế toán</v>
      </c>
      <c r="E299" s="9" t="str">
        <f aca="false">VLOOKUP($B299,DM_NHAN_VIEN!$B$4:$F$18,4,FALSE())</f>
        <v>Phó phòng</v>
      </c>
      <c r="F299" s="18" t="n">
        <v>46196</v>
      </c>
      <c r="G299" s="9" t="str">
        <f aca="false">CHOOSE(WEEKDAY(F299,2),"Thứ Hai","Thứ Ba","Thứ Tư","Thứ Năm","Thứ Sáu","Thứ Bảy","Chủ Nhật")</f>
        <v>Thứ Ba</v>
      </c>
      <c r="H299" s="9" t="str">
        <f aca="false">VLOOKUP($B299,DM_NHAN_VIEN!$B$4:$F$18,5,FALSE())</f>
        <v>Ca Hành Chính</v>
      </c>
      <c r="I299" s="9" t="str">
        <f aca="false">VLOOKUP($H299,DM_CA_LAM!$A$4:$C$6,2,FALSE())</f>
        <v>07:30</v>
      </c>
      <c r="J299" s="9" t="str">
        <f aca="false">VLOOKUP($H299,DM_CA_LAM!$A$4:$C$6,3,FALSE())</f>
        <v>17:30</v>
      </c>
      <c r="K299" s="9" t="s">
        <v>156</v>
      </c>
      <c r="L299" s="9" t="s">
        <v>162</v>
      </c>
      <c r="M299" s="9" t="n">
        <f aca="false">IF($K299="","",MAX(0,ROUND((TIMEVALUE($K299)-TIMEVALUE($I299))*1440,0)))</f>
        <v>0</v>
      </c>
      <c r="N299" s="9" t="n">
        <f aca="false">IF($L299="","",MAX(0,ROUND((TIMEVALUE($J299)-TIMEVALUE($L299))*1440,0)))</f>
        <v>0</v>
      </c>
      <c r="O299" s="9" t="n">
        <f aca="false">IF(OR($K299="",$L299=""),0,ROUND(VLOOKUP($H299,DM_CA_LAM!$A$4:$F$6,6,FALSE())-$M299/60-$N299/60,2))</f>
        <v>8</v>
      </c>
      <c r="P299" s="9" t="s">
        <v>108</v>
      </c>
      <c r="Q299" s="9" t="n">
        <v>0</v>
      </c>
      <c r="R299" s="10"/>
      <c r="S299" s="10"/>
      <c r="T299" s="9" t="str">
        <f aca="false">$B299&amp;"_"&amp;TEXT($F299,"yyyymmdd")</f>
        <v>NV015_20260623</v>
      </c>
      <c r="U299" s="9" t="str">
        <f aca="false">VLOOKUP($P299,DM_TRANG_THAI!$A$4:$B$9,2,FALSE())</f>
        <v>P</v>
      </c>
    </row>
    <row r="300" customFormat="false" ht="15.75" hidden="false" customHeight="true" outlineLevel="0" collapsed="false">
      <c r="A300" s="9" t="n">
        <v>297</v>
      </c>
      <c r="B300" s="9" t="s">
        <v>68</v>
      </c>
      <c r="C300" s="10" t="str">
        <f aca="false">VLOOKUP($B300,DM_NHAN_VIEN!$B$4:$F$18,2,FALSE())</f>
        <v>Hoàng Văn Lộc</v>
      </c>
      <c r="D300" s="9" t="str">
        <f aca="false">VLOOKUP($B300,DM_NHAN_VIEN!$B$4:$F$18,3,FALSE())</f>
        <v>Kinh doanh</v>
      </c>
      <c r="E300" s="9" t="str">
        <f aca="false">VLOOKUP($B300,DM_NHAN_VIEN!$B$4:$F$18,4,FALSE())</f>
        <v>Trưởng phòng</v>
      </c>
      <c r="F300" s="18" t="n">
        <v>46196</v>
      </c>
      <c r="G300" s="9" t="str">
        <f aca="false">CHOOSE(WEEKDAY(F300,2),"Thứ Hai","Thứ Ba","Thứ Tư","Thứ Năm","Thứ Sáu","Thứ Bảy","Chủ Nhật")</f>
        <v>Thứ Ba</v>
      </c>
      <c r="H300" s="9" t="str">
        <f aca="false">VLOOKUP($B300,DM_NHAN_VIEN!$B$4:$F$18,5,FALSE())</f>
        <v>Ca Hành Chính</v>
      </c>
      <c r="I300" s="9" t="str">
        <f aca="false">VLOOKUP($H300,DM_CA_LAM!$A$4:$C$6,2,FALSE())</f>
        <v>07:30</v>
      </c>
      <c r="J300" s="9" t="str">
        <f aca="false">VLOOKUP($H300,DM_CA_LAM!$A$4:$C$6,3,FALSE())</f>
        <v>17:30</v>
      </c>
      <c r="K300" s="9" t="s">
        <v>160</v>
      </c>
      <c r="L300" s="9" t="s">
        <v>183</v>
      </c>
      <c r="M300" s="9" t="n">
        <f aca="false">IF($K300="","",MAX(0,ROUND((TIMEVALUE($K300)-TIMEVALUE($I300))*1440,0)))</f>
        <v>0</v>
      </c>
      <c r="N300" s="9" t="n">
        <f aca="false">IF($L300="","",MAX(0,ROUND((TIMEVALUE($J300)-TIMEVALUE($L300))*1440,0)))</f>
        <v>0</v>
      </c>
      <c r="O300" s="9" t="n">
        <f aca="false">IF(OR($K300="",$L300=""),0,ROUND(VLOOKUP($H300,DM_CA_LAM!$A$4:$F$6,6,FALSE())-$M300/60-$N300/60,2))</f>
        <v>8</v>
      </c>
      <c r="P300" s="9" t="s">
        <v>108</v>
      </c>
      <c r="Q300" s="9" t="n">
        <v>0</v>
      </c>
      <c r="R300" s="10"/>
      <c r="S300" s="10"/>
      <c r="T300" s="9" t="str">
        <f aca="false">$B300&amp;"_"&amp;TEXT($F300,"yyyymmdd")</f>
        <v>NV019_20260623</v>
      </c>
      <c r="U300" s="9" t="str">
        <f aca="false">VLOOKUP($P300,DM_TRANG_THAI!$A$4:$B$9,2,FALSE())</f>
        <v>P</v>
      </c>
    </row>
    <row r="301" customFormat="false" ht="15.75" hidden="false" customHeight="true" outlineLevel="0" collapsed="false">
      <c r="A301" s="9" t="n">
        <v>298</v>
      </c>
      <c r="B301" s="9" t="s">
        <v>72</v>
      </c>
      <c r="C301" s="10" t="str">
        <f aca="false">VLOOKUP($B301,DM_NHAN_VIEN!$B$4:$F$18,2,FALSE())</f>
        <v>Nguyễn Văn Phú</v>
      </c>
      <c r="D301" s="9" t="str">
        <f aca="false">VLOOKUP($B301,DM_NHAN_VIEN!$B$4:$F$18,3,FALSE())</f>
        <v>Kinh doanh</v>
      </c>
      <c r="E301" s="9" t="str">
        <f aca="false">VLOOKUP($B301,DM_NHAN_VIEN!$B$4:$F$18,4,FALSE())</f>
        <v>Nhân viên</v>
      </c>
      <c r="F301" s="18" t="n">
        <v>46196</v>
      </c>
      <c r="G301" s="9" t="str">
        <f aca="false">CHOOSE(WEEKDAY(F301,2),"Thứ Hai","Thứ Ba","Thứ Tư","Thứ Năm","Thứ Sáu","Thứ Bảy","Chủ Nhật")</f>
        <v>Thứ Ba</v>
      </c>
      <c r="H301" s="9" t="str">
        <f aca="false">VLOOKUP($B301,DM_NHAN_VIEN!$B$4:$F$18,5,FALSE())</f>
        <v>Ca Hành Chính</v>
      </c>
      <c r="I301" s="9" t="str">
        <f aca="false">VLOOKUP($H301,DM_CA_LAM!$A$4:$C$6,2,FALSE())</f>
        <v>07:30</v>
      </c>
      <c r="J301" s="9" t="str">
        <f aca="false">VLOOKUP($H301,DM_CA_LAM!$A$4:$C$6,3,FALSE())</f>
        <v>17:30</v>
      </c>
      <c r="K301" s="9" t="s">
        <v>196</v>
      </c>
      <c r="L301" s="9" t="s">
        <v>162</v>
      </c>
      <c r="M301" s="9" t="n">
        <f aca="false">IF($K301="","",MAX(0,ROUND((TIMEVALUE($K301)-TIMEVALUE($I301))*1440,0)))</f>
        <v>31</v>
      </c>
      <c r="N301" s="9" t="n">
        <f aca="false">IF($L301="","",MAX(0,ROUND((TIMEVALUE($J301)-TIMEVALUE($L301))*1440,0)))</f>
        <v>0</v>
      </c>
      <c r="O301" s="9" t="n">
        <f aca="false">IF(OR($K301="",$L301=""),0,ROUND(VLOOKUP($H301,DM_CA_LAM!$A$4:$F$6,6,FALSE())-$M301/60-$N301/60,2))</f>
        <v>7.48</v>
      </c>
      <c r="P301" s="9" t="s">
        <v>111</v>
      </c>
      <c r="Q301" s="9" t="n">
        <v>2</v>
      </c>
      <c r="R301" s="10" t="s">
        <v>177</v>
      </c>
      <c r="S301" s="10" t="s">
        <v>182</v>
      </c>
      <c r="T301" s="9" t="str">
        <f aca="false">$B301&amp;"_"&amp;TEXT($F301,"yyyymmdd")</f>
        <v>NV021_20260623</v>
      </c>
      <c r="U301" s="9" t="str">
        <f aca="false">VLOOKUP($P301,DM_TRANG_THAI!$A$4:$B$9,2,FALSE())</f>
        <v>L</v>
      </c>
    </row>
    <row r="302" customFormat="false" ht="15.75" hidden="false" customHeight="true" outlineLevel="0" collapsed="false">
      <c r="A302" s="9" t="n">
        <v>299</v>
      </c>
      <c r="B302" s="9" t="s">
        <v>76</v>
      </c>
      <c r="C302" s="10" t="str">
        <f aca="false">VLOOKUP($B302,DM_NHAN_VIEN!$B$4:$F$18,2,FALSE())</f>
        <v>Lý Văn Dũng</v>
      </c>
      <c r="D302" s="9" t="str">
        <f aca="false">VLOOKUP($B302,DM_NHAN_VIEN!$B$4:$F$18,3,FALSE())</f>
        <v>Xưởng sản xuất</v>
      </c>
      <c r="E302" s="9" t="str">
        <f aca="false">VLOOKUP($B302,DM_NHAN_VIEN!$B$4:$F$18,4,FALSE())</f>
        <v>Tổ trưởng</v>
      </c>
      <c r="F302" s="18" t="n">
        <v>46196</v>
      </c>
      <c r="G302" s="9" t="str">
        <f aca="false">CHOOSE(WEEKDAY(F302,2),"Thứ Hai","Thứ Ba","Thứ Tư","Thứ Năm","Thứ Sáu","Thứ Bảy","Chủ Nhật")</f>
        <v>Thứ Ba</v>
      </c>
      <c r="H302" s="9" t="str">
        <f aca="false">VLOOKUP($B302,DM_NHAN_VIEN!$B$4:$F$18,5,FALSE())</f>
        <v>Ca Hành Chính</v>
      </c>
      <c r="I302" s="9" t="str">
        <f aca="false">VLOOKUP($H302,DM_CA_LAM!$A$4:$C$6,2,FALSE())</f>
        <v>07:30</v>
      </c>
      <c r="J302" s="9" t="str">
        <f aca="false">VLOOKUP($H302,DM_CA_LAM!$A$4:$C$6,3,FALSE())</f>
        <v>17:30</v>
      </c>
      <c r="K302" s="9" t="s">
        <v>197</v>
      </c>
      <c r="L302" s="9" t="s">
        <v>162</v>
      </c>
      <c r="M302" s="9" t="n">
        <f aca="false">IF($K302="","",MAX(0,ROUND((TIMEVALUE($K302)-TIMEVALUE($I302))*1440,0)))</f>
        <v>24</v>
      </c>
      <c r="N302" s="9" t="n">
        <f aca="false">IF($L302="","",MAX(0,ROUND((TIMEVALUE($J302)-TIMEVALUE($L302))*1440,0)))</f>
        <v>0</v>
      </c>
      <c r="O302" s="9" t="n">
        <f aca="false">IF(OR($K302="",$L302=""),0,ROUND(VLOOKUP($H302,DM_CA_LAM!$A$4:$F$6,6,FALSE())-$M302/60-$N302/60,2))</f>
        <v>7.6</v>
      </c>
      <c r="P302" s="9" t="s">
        <v>111</v>
      </c>
      <c r="Q302" s="9" t="n">
        <v>0</v>
      </c>
      <c r="R302" s="10"/>
      <c r="S302" s="10"/>
      <c r="T302" s="9" t="str">
        <f aca="false">$B302&amp;"_"&amp;TEXT($F302,"yyyymmdd")</f>
        <v>NV029_20260623</v>
      </c>
      <c r="U302" s="9" t="str">
        <f aca="false">VLOOKUP($P302,DM_TRANG_THAI!$A$4:$B$9,2,FALSE())</f>
        <v>L</v>
      </c>
    </row>
    <row r="303" customFormat="false" ht="15.75" hidden="false" customHeight="true" outlineLevel="0" collapsed="false">
      <c r="A303" s="9" t="n">
        <v>300</v>
      </c>
      <c r="B303" s="9" t="s">
        <v>80</v>
      </c>
      <c r="C303" s="10" t="str">
        <f aca="false">VLOOKUP($B303,DM_NHAN_VIEN!$B$4:$F$18,2,FALSE())</f>
        <v>Tống Văn Thắng</v>
      </c>
      <c r="D303" s="9" t="str">
        <f aca="false">VLOOKUP($B303,DM_NHAN_VIEN!$B$4:$F$18,3,FALSE())</f>
        <v>Xưởng sản xuất</v>
      </c>
      <c r="E303" s="9" t="str">
        <f aca="false">VLOOKUP($B303,DM_NHAN_VIEN!$B$4:$F$18,4,FALSE())</f>
        <v>Tổ trưởng</v>
      </c>
      <c r="F303" s="18" t="n">
        <v>46196</v>
      </c>
      <c r="G303" s="9" t="str">
        <f aca="false">CHOOSE(WEEKDAY(F303,2),"Thứ Hai","Thứ Ba","Thứ Tư","Thứ Năm","Thứ Sáu","Thứ Bảy","Chủ Nhật")</f>
        <v>Thứ Ba</v>
      </c>
      <c r="H303" s="9" t="str">
        <f aca="false">VLOOKUP($B303,DM_NHAN_VIEN!$B$4:$F$18,5,FALSE())</f>
        <v>Ca Hành Chính</v>
      </c>
      <c r="I303" s="9" t="str">
        <f aca="false">VLOOKUP($H303,DM_CA_LAM!$A$4:$C$6,2,FALSE())</f>
        <v>07:30</v>
      </c>
      <c r="J303" s="9" t="str">
        <f aca="false">VLOOKUP($H303,DM_CA_LAM!$A$4:$C$6,3,FALSE())</f>
        <v>17:30</v>
      </c>
      <c r="K303" s="9" t="s">
        <v>92</v>
      </c>
      <c r="L303" s="9" t="s">
        <v>162</v>
      </c>
      <c r="M303" s="9" t="n">
        <f aca="false">IF($K303="","",MAX(0,ROUND((TIMEVALUE($K303)-TIMEVALUE($I303))*1440,0)))</f>
        <v>0</v>
      </c>
      <c r="N303" s="9" t="n">
        <f aca="false">IF($L303="","",MAX(0,ROUND((TIMEVALUE($J303)-TIMEVALUE($L303))*1440,0)))</f>
        <v>0</v>
      </c>
      <c r="O303" s="9" t="n">
        <f aca="false">IF(OR($K303="",$L303=""),0,ROUND(VLOOKUP($H303,DM_CA_LAM!$A$4:$F$6,6,FALSE())-$M303/60-$N303/60,2))</f>
        <v>8</v>
      </c>
      <c r="P303" s="9" t="s">
        <v>108</v>
      </c>
      <c r="Q303" s="9" t="n">
        <v>0</v>
      </c>
      <c r="R303" s="10"/>
      <c r="S303" s="10"/>
      <c r="T303" s="9" t="str">
        <f aca="false">$B303&amp;"_"&amp;TEXT($F303,"yyyymmdd")</f>
        <v>NV030_20260623</v>
      </c>
      <c r="U303" s="9" t="str">
        <f aca="false">VLOOKUP($P303,DM_TRANG_THAI!$A$4:$B$9,2,FALSE())</f>
        <v>P</v>
      </c>
    </row>
    <row r="304" customFormat="false" ht="15.75" hidden="false" customHeight="true" outlineLevel="0" collapsed="false">
      <c r="A304" s="9" t="n">
        <v>301</v>
      </c>
      <c r="B304" s="9" t="s">
        <v>24</v>
      </c>
      <c r="C304" s="10" t="str">
        <f aca="false">VLOOKUP($B304,DM_NHAN_VIEN!$B$4:$F$18,2,FALSE())</f>
        <v>Nguyễn Văn Giám Đốc</v>
      </c>
      <c r="D304" s="9" t="str">
        <f aca="false">VLOOKUP($B304,DM_NHAN_VIEN!$B$4:$F$18,3,FALSE())</f>
        <v>Hành chính</v>
      </c>
      <c r="E304" s="9" t="str">
        <f aca="false">VLOOKUP($B304,DM_NHAN_VIEN!$B$4:$F$18,4,FALSE())</f>
        <v>Giám đốc</v>
      </c>
      <c r="F304" s="18" t="n">
        <v>46197</v>
      </c>
      <c r="G304" s="9" t="str">
        <f aca="false">CHOOSE(WEEKDAY(F304,2),"Thứ Hai","Thứ Ba","Thứ Tư","Thứ Năm","Thứ Sáu","Thứ Bảy","Chủ Nhật")</f>
        <v>Thứ Tư</v>
      </c>
      <c r="H304" s="9" t="str">
        <f aca="false">VLOOKUP($B304,DM_NHAN_VIEN!$B$4:$F$18,5,FALSE())</f>
        <v>Ca Hành Chính</v>
      </c>
      <c r="I304" s="9" t="str">
        <f aca="false">VLOOKUP($H304,DM_CA_LAM!$A$4:$C$6,2,FALSE())</f>
        <v>07:30</v>
      </c>
      <c r="J304" s="9" t="str">
        <f aca="false">VLOOKUP($H304,DM_CA_LAM!$A$4:$C$6,3,FALSE())</f>
        <v>17:30</v>
      </c>
      <c r="K304" s="9"/>
      <c r="L304" s="9"/>
      <c r="M304" s="9" t="str">
        <f aca="false">IF($K304="","",MAX(0,ROUND((TIMEVALUE($K304)-TIMEVALUE($I304))*1440,0)))</f>
        <v/>
      </c>
      <c r="N304" s="9" t="str">
        <f aca="false">IF($L304="","",MAX(0,ROUND((TIMEVALUE($J304)-TIMEVALUE($L304))*1440,0)))</f>
        <v/>
      </c>
      <c r="O304" s="9" t="n">
        <f aca="false">IF(OR($K304="",$L304=""),0,ROUND(VLOOKUP($H304,DM_CA_LAM!$A$4:$F$6,6,FALSE())-$M304/60-$N304/60,2))</f>
        <v>0</v>
      </c>
      <c r="P304" s="9" t="s">
        <v>117</v>
      </c>
      <c r="Q304" s="9" t="n">
        <v>0</v>
      </c>
      <c r="R304" s="10"/>
      <c r="S304" s="10"/>
      <c r="T304" s="9" t="str">
        <f aca="false">$B304&amp;"_"&amp;TEXT($F304,"yyyymmdd")</f>
        <v>NV002_20260624</v>
      </c>
      <c r="U304" s="9" t="str">
        <f aca="false">VLOOKUP($P304,DM_TRANG_THAI!$A$4:$B$9,2,FALSE())</f>
        <v>NP</v>
      </c>
    </row>
    <row r="305" customFormat="false" ht="15.75" hidden="false" customHeight="true" outlineLevel="0" collapsed="false">
      <c r="A305" s="9" t="n">
        <v>302</v>
      </c>
      <c r="B305" s="9" t="s">
        <v>30</v>
      </c>
      <c r="C305" s="10" t="str">
        <f aca="false">VLOOKUP($B305,DM_NHAN_VIEN!$B$4:$F$18,2,FALSE())</f>
        <v>Trần Thị Nhân Sự</v>
      </c>
      <c r="D305" s="9" t="str">
        <f aca="false">VLOOKUP($B305,DM_NHAN_VIEN!$B$4:$F$18,3,FALSE())</f>
        <v>Nhân sự</v>
      </c>
      <c r="E305" s="9" t="str">
        <f aca="false">VLOOKUP($B305,DM_NHAN_VIEN!$B$4:$F$18,4,FALSE())</f>
        <v>Trưởng phòng</v>
      </c>
      <c r="F305" s="18" t="n">
        <v>46197</v>
      </c>
      <c r="G305" s="9" t="str">
        <f aca="false">CHOOSE(WEEKDAY(F305,2),"Thứ Hai","Thứ Ba","Thứ Tư","Thứ Năm","Thứ Sáu","Thứ Bảy","Chủ Nhật")</f>
        <v>Thứ Tư</v>
      </c>
      <c r="H305" s="9" t="str">
        <f aca="false">VLOOKUP($B305,DM_NHAN_VIEN!$B$4:$F$18,5,FALSE())</f>
        <v>Ca Hành Chính</v>
      </c>
      <c r="I305" s="9" t="str">
        <f aca="false">VLOOKUP($H305,DM_CA_LAM!$A$4:$C$6,2,FALSE())</f>
        <v>07:30</v>
      </c>
      <c r="J305" s="9" t="str">
        <f aca="false">VLOOKUP($H305,DM_CA_LAM!$A$4:$C$6,3,FALSE())</f>
        <v>17:30</v>
      </c>
      <c r="K305" s="9"/>
      <c r="L305" s="9"/>
      <c r="M305" s="9" t="str">
        <f aca="false">IF($K305="","",MAX(0,ROUND((TIMEVALUE($K305)-TIMEVALUE($I305))*1440,0)))</f>
        <v/>
      </c>
      <c r="N305" s="9" t="str">
        <f aca="false">IF($L305="","",MAX(0,ROUND((TIMEVALUE($J305)-TIMEVALUE($L305))*1440,0)))</f>
        <v/>
      </c>
      <c r="O305" s="9" t="n">
        <f aca="false">IF(OR($K305="",$L305=""),0,ROUND(VLOOKUP($H305,DM_CA_LAM!$A$4:$F$6,6,FALSE())-$M305/60-$N305/60,2))</f>
        <v>0</v>
      </c>
      <c r="P305" s="9" t="s">
        <v>114</v>
      </c>
      <c r="Q305" s="9" t="n">
        <v>0</v>
      </c>
      <c r="R305" s="10"/>
      <c r="S305" s="10" t="s">
        <v>185</v>
      </c>
      <c r="T305" s="9" t="str">
        <f aca="false">$B305&amp;"_"&amp;TEXT($F305,"yyyymmdd")</f>
        <v>NV003_20260624</v>
      </c>
      <c r="U305" s="9" t="str">
        <f aca="false">VLOOKUP($P305,DM_TRANG_THAI!$A$4:$B$9,2,FALSE())</f>
        <v>A</v>
      </c>
    </row>
    <row r="306" customFormat="false" ht="15.75" hidden="false" customHeight="true" outlineLevel="0" collapsed="false">
      <c r="A306" s="9" t="n">
        <v>303</v>
      </c>
      <c r="B306" s="9" t="s">
        <v>35</v>
      </c>
      <c r="C306" s="10" t="str">
        <f aca="false">VLOOKUP($B306,DM_NHAN_VIEN!$B$4:$F$18,2,FALSE())</f>
        <v>Lê Văn Quản Đốc</v>
      </c>
      <c r="D306" s="9" t="str">
        <f aca="false">VLOOKUP($B306,DM_NHAN_VIEN!$B$4:$F$18,3,FALSE())</f>
        <v>Xưởng sản xuất</v>
      </c>
      <c r="E306" s="9" t="str">
        <f aca="false">VLOOKUP($B306,DM_NHAN_VIEN!$B$4:$F$18,4,FALSE())</f>
        <v>Quản đốc</v>
      </c>
      <c r="F306" s="18" t="n">
        <v>46197</v>
      </c>
      <c r="G306" s="9" t="str">
        <f aca="false">CHOOSE(WEEKDAY(F306,2),"Thứ Hai","Thứ Ba","Thứ Tư","Thứ Năm","Thứ Sáu","Thứ Bảy","Chủ Nhật")</f>
        <v>Thứ Tư</v>
      </c>
      <c r="H306" s="9" t="str">
        <f aca="false">VLOOKUP($B306,DM_NHAN_VIEN!$B$4:$F$18,5,FALSE())</f>
        <v>Ca Hành Chính</v>
      </c>
      <c r="I306" s="9" t="str">
        <f aca="false">VLOOKUP($H306,DM_CA_LAM!$A$4:$C$6,2,FALSE())</f>
        <v>07:30</v>
      </c>
      <c r="J306" s="9" t="str">
        <f aca="false">VLOOKUP($H306,DM_CA_LAM!$A$4:$C$6,3,FALSE())</f>
        <v>17:30</v>
      </c>
      <c r="K306" s="9" t="s">
        <v>158</v>
      </c>
      <c r="L306" s="9" t="s">
        <v>166</v>
      </c>
      <c r="M306" s="9" t="n">
        <f aca="false">IF($K306="","",MAX(0,ROUND((TIMEVALUE($K306)-TIMEVALUE($I306))*1440,0)))</f>
        <v>0</v>
      </c>
      <c r="N306" s="9" t="n">
        <f aca="false">IF($L306="","",MAX(0,ROUND((TIMEVALUE($J306)-TIMEVALUE($L306))*1440,0)))</f>
        <v>0</v>
      </c>
      <c r="O306" s="9" t="n">
        <f aca="false">IF(OR($K306="",$L306=""),0,ROUND(VLOOKUP($H306,DM_CA_LAM!$A$4:$F$6,6,FALSE())-$M306/60-$N306/60,2))</f>
        <v>8</v>
      </c>
      <c r="P306" s="9" t="s">
        <v>108</v>
      </c>
      <c r="Q306" s="9" t="n">
        <v>0</v>
      </c>
      <c r="R306" s="10"/>
      <c r="S306" s="10"/>
      <c r="T306" s="9" t="str">
        <f aca="false">$B306&amp;"_"&amp;TEXT($F306,"yyyymmdd")</f>
        <v>NV004_20260624</v>
      </c>
      <c r="U306" s="9" t="str">
        <f aca="false">VLOOKUP($P306,DM_TRANG_THAI!$A$4:$B$9,2,FALSE())</f>
        <v>P</v>
      </c>
    </row>
    <row r="307" customFormat="false" ht="15.75" hidden="false" customHeight="true" outlineLevel="0" collapsed="false">
      <c r="A307" s="9" t="n">
        <v>304</v>
      </c>
      <c r="B307" s="9" t="s">
        <v>40</v>
      </c>
      <c r="C307" s="10" t="str">
        <f aca="false">VLOOKUP($B307,DM_NHAN_VIEN!$B$4:$F$18,2,FALSE())</f>
        <v>Phạm Công Nhân</v>
      </c>
      <c r="D307" s="9" t="str">
        <f aca="false">VLOOKUP($B307,DM_NHAN_VIEN!$B$4:$F$18,3,FALSE())</f>
        <v>Xưởng sản xuất</v>
      </c>
      <c r="E307" s="9" t="str">
        <f aca="false">VLOOKUP($B307,DM_NHAN_VIEN!$B$4:$F$18,4,FALSE())</f>
        <v>Công nhân</v>
      </c>
      <c r="F307" s="18" t="n">
        <v>46197</v>
      </c>
      <c r="G307" s="9" t="str">
        <f aca="false">CHOOSE(WEEKDAY(F307,2),"Thứ Hai","Thứ Ba","Thứ Tư","Thứ Năm","Thứ Sáu","Thứ Bảy","Chủ Nhật")</f>
        <v>Thứ Tư</v>
      </c>
      <c r="H307" s="9" t="str">
        <f aca="false">VLOOKUP($B307,DM_NHAN_VIEN!$B$4:$F$18,5,FALSE())</f>
        <v>Ca Hành Chính</v>
      </c>
      <c r="I307" s="9" t="str">
        <f aca="false">VLOOKUP($H307,DM_CA_LAM!$A$4:$C$6,2,FALSE())</f>
        <v>07:30</v>
      </c>
      <c r="J307" s="9" t="str">
        <f aca="false">VLOOKUP($H307,DM_CA_LAM!$A$4:$C$6,3,FALSE())</f>
        <v>17:30</v>
      </c>
      <c r="K307" s="9" t="s">
        <v>92</v>
      </c>
      <c r="L307" s="9" t="s">
        <v>146</v>
      </c>
      <c r="M307" s="9" t="n">
        <f aca="false">IF($K307="","",MAX(0,ROUND((TIMEVALUE($K307)-TIMEVALUE($I307))*1440,0)))</f>
        <v>0</v>
      </c>
      <c r="N307" s="9" t="n">
        <f aca="false">IF($L307="","",MAX(0,ROUND((TIMEVALUE($J307)-TIMEVALUE($L307))*1440,0)))</f>
        <v>0</v>
      </c>
      <c r="O307" s="9" t="n">
        <f aca="false">IF(OR($K307="",$L307=""),0,ROUND(VLOOKUP($H307,DM_CA_LAM!$A$4:$F$6,6,FALSE())-$M307/60-$N307/60,2))</f>
        <v>8</v>
      </c>
      <c r="P307" s="9" t="s">
        <v>108</v>
      </c>
      <c r="Q307" s="9" t="n">
        <v>0</v>
      </c>
      <c r="R307" s="10"/>
      <c r="S307" s="10"/>
      <c r="T307" s="9" t="str">
        <f aca="false">$B307&amp;"_"&amp;TEXT($F307,"yyyymmdd")</f>
        <v>NV005_20260624</v>
      </c>
      <c r="U307" s="9" t="str">
        <f aca="false">VLOOKUP($P307,DM_TRANG_THAI!$A$4:$B$9,2,FALSE())</f>
        <v>P</v>
      </c>
    </row>
    <row r="308" customFormat="false" ht="15.75" hidden="false" customHeight="true" outlineLevel="0" collapsed="false">
      <c r="A308" s="9" t="n">
        <v>305</v>
      </c>
      <c r="B308" s="9" t="s">
        <v>44</v>
      </c>
      <c r="C308" s="10" t="str">
        <f aca="false">VLOOKUP($B308,DM_NHAN_VIEN!$B$4:$F$18,2,FALSE())</f>
        <v>Đỗ Thị Hà</v>
      </c>
      <c r="D308" s="9" t="str">
        <f aca="false">VLOOKUP($B308,DM_NHAN_VIEN!$B$4:$F$18,3,FALSE())</f>
        <v>Hành chính</v>
      </c>
      <c r="E308" s="9" t="str">
        <f aca="false">VLOOKUP($B308,DM_NHAN_VIEN!$B$4:$F$18,4,FALSE())</f>
        <v>Trưởng phòng</v>
      </c>
      <c r="F308" s="18" t="n">
        <v>46197</v>
      </c>
      <c r="G308" s="9" t="str">
        <f aca="false">CHOOSE(WEEKDAY(F308,2),"Thứ Hai","Thứ Ba","Thứ Tư","Thứ Năm","Thứ Sáu","Thứ Bảy","Chủ Nhật")</f>
        <v>Thứ Tư</v>
      </c>
      <c r="H308" s="9" t="str">
        <f aca="false">VLOOKUP($B308,DM_NHAN_VIEN!$B$4:$F$18,5,FALSE())</f>
        <v>Ca Hành Chính</v>
      </c>
      <c r="I308" s="9" t="str">
        <f aca="false">VLOOKUP($H308,DM_CA_LAM!$A$4:$C$6,2,FALSE())</f>
        <v>07:30</v>
      </c>
      <c r="J308" s="9" t="str">
        <f aca="false">VLOOKUP($H308,DM_CA_LAM!$A$4:$C$6,3,FALSE())</f>
        <v>17:30</v>
      </c>
      <c r="K308" s="9" t="s">
        <v>193</v>
      </c>
      <c r="L308" s="9" t="s">
        <v>143</v>
      </c>
      <c r="M308" s="9" t="n">
        <f aca="false">IF($K308="","",MAX(0,ROUND((TIMEVALUE($K308)-TIMEVALUE($I308))*1440,0)))</f>
        <v>33</v>
      </c>
      <c r="N308" s="9" t="n">
        <f aca="false">IF($L308="","",MAX(0,ROUND((TIMEVALUE($J308)-TIMEVALUE($L308))*1440,0)))</f>
        <v>0</v>
      </c>
      <c r="O308" s="9" t="n">
        <f aca="false">IF(OR($K308="",$L308=""),0,ROUND(VLOOKUP($H308,DM_CA_LAM!$A$4:$F$6,6,FALSE())-$M308/60-$N308/60,2))</f>
        <v>7.45</v>
      </c>
      <c r="P308" s="9" t="s">
        <v>111</v>
      </c>
      <c r="Q308" s="9" t="n">
        <v>0</v>
      </c>
      <c r="R308" s="10"/>
      <c r="S308" s="10"/>
      <c r="T308" s="9" t="str">
        <f aca="false">$B308&amp;"_"&amp;TEXT($F308,"yyyymmdd")</f>
        <v>NV006_20260624</v>
      </c>
      <c r="U308" s="9" t="str">
        <f aca="false">VLOOKUP($P308,DM_TRANG_THAI!$A$4:$B$9,2,FALSE())</f>
        <v>L</v>
      </c>
    </row>
    <row r="309" customFormat="false" ht="15.75" hidden="false" customHeight="true" outlineLevel="0" collapsed="false">
      <c r="A309" s="9" t="n">
        <v>306</v>
      </c>
      <c r="B309" s="9" t="s">
        <v>47</v>
      </c>
      <c r="C309" s="10" t="str">
        <f aca="false">VLOOKUP($B309,DM_NHAN_VIEN!$B$4:$F$18,2,FALSE())</f>
        <v>Ngô Văn Tài</v>
      </c>
      <c r="D309" s="9" t="str">
        <f aca="false">VLOOKUP($B309,DM_NHAN_VIEN!$B$4:$F$18,3,FALSE())</f>
        <v>Hành chính</v>
      </c>
      <c r="E309" s="9" t="str">
        <f aca="false">VLOOKUP($B309,DM_NHAN_VIEN!$B$4:$F$18,4,FALSE())</f>
        <v>Phó phòng</v>
      </c>
      <c r="F309" s="18" t="n">
        <v>46197</v>
      </c>
      <c r="G309" s="9" t="str">
        <f aca="false">CHOOSE(WEEKDAY(F309,2),"Thứ Hai","Thứ Ba","Thứ Tư","Thứ Năm","Thứ Sáu","Thứ Bảy","Chủ Nhật")</f>
        <v>Thứ Tư</v>
      </c>
      <c r="H309" s="9" t="str">
        <f aca="false">VLOOKUP($B309,DM_NHAN_VIEN!$B$4:$F$18,5,FALSE())</f>
        <v>Ca Hành Chính</v>
      </c>
      <c r="I309" s="9" t="str">
        <f aca="false">VLOOKUP($H309,DM_CA_LAM!$A$4:$C$6,2,FALSE())</f>
        <v>07:30</v>
      </c>
      <c r="J309" s="9" t="str">
        <f aca="false">VLOOKUP($H309,DM_CA_LAM!$A$4:$C$6,3,FALSE())</f>
        <v>17:30</v>
      </c>
      <c r="K309" s="9" t="s">
        <v>145</v>
      </c>
      <c r="L309" s="9" t="s">
        <v>157</v>
      </c>
      <c r="M309" s="9" t="n">
        <f aca="false">IF($K309="","",MAX(0,ROUND((TIMEVALUE($K309)-TIMEVALUE($I309))*1440,0)))</f>
        <v>0</v>
      </c>
      <c r="N309" s="9" t="n">
        <f aca="false">IF($L309="","",MAX(0,ROUND((TIMEVALUE($J309)-TIMEVALUE($L309))*1440,0)))</f>
        <v>0</v>
      </c>
      <c r="O309" s="9" t="n">
        <f aca="false">IF(OR($K309="",$L309=""),0,ROUND(VLOOKUP($H309,DM_CA_LAM!$A$4:$F$6,6,FALSE())-$M309/60-$N309/60,2))</f>
        <v>8</v>
      </c>
      <c r="P309" s="9" t="s">
        <v>108</v>
      </c>
      <c r="Q309" s="9" t="n">
        <v>0</v>
      </c>
      <c r="R309" s="10"/>
      <c r="S309" s="10"/>
      <c r="T309" s="9" t="str">
        <f aca="false">$B309&amp;"_"&amp;TEXT($F309,"yyyymmdd")</f>
        <v>NV007_20260624</v>
      </c>
      <c r="U309" s="9" t="str">
        <f aca="false">VLOOKUP($P309,DM_TRANG_THAI!$A$4:$B$9,2,FALSE())</f>
        <v>P</v>
      </c>
    </row>
    <row r="310" customFormat="false" ht="15.75" hidden="false" customHeight="true" outlineLevel="0" collapsed="false">
      <c r="A310" s="9" t="n">
        <v>307</v>
      </c>
      <c r="B310" s="9" t="s">
        <v>51</v>
      </c>
      <c r="C310" s="10" t="str">
        <f aca="false">VLOOKUP($B310,DM_NHAN_VIEN!$B$4:$F$18,2,FALSE())</f>
        <v>Vũ Thị Nga</v>
      </c>
      <c r="D310" s="9" t="str">
        <f aca="false">VLOOKUP($B310,DM_NHAN_VIEN!$B$4:$F$18,3,FALSE())</f>
        <v>Hành chính</v>
      </c>
      <c r="E310" s="9" t="str">
        <f aca="false">VLOOKUP($B310,DM_NHAN_VIEN!$B$4:$F$18,4,FALSE())</f>
        <v>Chuyên viên</v>
      </c>
      <c r="F310" s="18" t="n">
        <v>46197</v>
      </c>
      <c r="G310" s="9" t="str">
        <f aca="false">CHOOSE(WEEKDAY(F310,2),"Thứ Hai","Thứ Ba","Thứ Tư","Thứ Năm","Thứ Sáu","Thứ Bảy","Chủ Nhật")</f>
        <v>Thứ Tư</v>
      </c>
      <c r="H310" s="9" t="str">
        <f aca="false">VLOOKUP($B310,DM_NHAN_VIEN!$B$4:$F$18,5,FALSE())</f>
        <v>Ca Hành Chính</v>
      </c>
      <c r="I310" s="9" t="str">
        <f aca="false">VLOOKUP($H310,DM_CA_LAM!$A$4:$C$6,2,FALSE())</f>
        <v>07:30</v>
      </c>
      <c r="J310" s="9" t="str">
        <f aca="false">VLOOKUP($H310,DM_CA_LAM!$A$4:$C$6,3,FALSE())</f>
        <v>17:30</v>
      </c>
      <c r="K310" s="9"/>
      <c r="L310" s="9"/>
      <c r="M310" s="9" t="str">
        <f aca="false">IF($K310="","",MAX(0,ROUND((TIMEVALUE($K310)-TIMEVALUE($I310))*1440,0)))</f>
        <v/>
      </c>
      <c r="N310" s="9" t="str">
        <f aca="false">IF($L310="","",MAX(0,ROUND((TIMEVALUE($J310)-TIMEVALUE($L310))*1440,0)))</f>
        <v/>
      </c>
      <c r="O310" s="9" t="n">
        <f aca="false">IF(OR($K310="",$L310=""),0,ROUND(VLOOKUP($H310,DM_CA_LAM!$A$4:$F$6,6,FALSE())-$M310/60-$N310/60,2))</f>
        <v>0</v>
      </c>
      <c r="P310" s="9" t="s">
        <v>120</v>
      </c>
      <c r="Q310" s="9" t="n">
        <v>0</v>
      </c>
      <c r="R310" s="10"/>
      <c r="S310" s="10"/>
      <c r="T310" s="9" t="str">
        <f aca="false">$B310&amp;"_"&amp;TEXT($F310,"yyyymmdd")</f>
        <v>NV008_20260624</v>
      </c>
      <c r="U310" s="9" t="str">
        <f aca="false">VLOOKUP($P310,DM_TRANG_THAI!$A$4:$B$9,2,FALSE())</f>
        <v>KL</v>
      </c>
    </row>
    <row r="311" customFormat="false" ht="15.75" hidden="false" customHeight="true" outlineLevel="0" collapsed="false">
      <c r="A311" s="9" t="n">
        <v>308</v>
      </c>
      <c r="B311" s="9" t="s">
        <v>55</v>
      </c>
      <c r="C311" s="10" t="str">
        <f aca="false">VLOOKUP($B311,DM_NHAN_VIEN!$B$4:$F$18,2,FALSE())</f>
        <v>Đặng Thị Hồng</v>
      </c>
      <c r="D311" s="9" t="str">
        <f aca="false">VLOOKUP($B311,DM_NHAN_VIEN!$B$4:$F$18,3,FALSE())</f>
        <v>Nhân sự</v>
      </c>
      <c r="E311" s="9" t="str">
        <f aca="false">VLOOKUP($B311,DM_NHAN_VIEN!$B$4:$F$18,4,FALSE())</f>
        <v>Chuyên viên</v>
      </c>
      <c r="F311" s="18" t="n">
        <v>46197</v>
      </c>
      <c r="G311" s="9" t="str">
        <f aca="false">CHOOSE(WEEKDAY(F311,2),"Thứ Hai","Thứ Ba","Thứ Tư","Thứ Năm","Thứ Sáu","Thứ Bảy","Chủ Nhật")</f>
        <v>Thứ Tư</v>
      </c>
      <c r="H311" s="9" t="str">
        <f aca="false">VLOOKUP($B311,DM_NHAN_VIEN!$B$4:$F$18,5,FALSE())</f>
        <v>Ca Hành Chính</v>
      </c>
      <c r="I311" s="9" t="str">
        <f aca="false">VLOOKUP($H311,DM_CA_LAM!$A$4:$C$6,2,FALSE())</f>
        <v>07:30</v>
      </c>
      <c r="J311" s="9" t="str">
        <f aca="false">VLOOKUP($H311,DM_CA_LAM!$A$4:$C$6,3,FALSE())</f>
        <v>17:30</v>
      </c>
      <c r="K311" s="9" t="s">
        <v>161</v>
      </c>
      <c r="L311" s="9" t="s">
        <v>174</v>
      </c>
      <c r="M311" s="9" t="n">
        <f aca="false">IF($K311="","",MAX(0,ROUND((TIMEVALUE($K311)-TIMEVALUE($I311))*1440,0)))</f>
        <v>0</v>
      </c>
      <c r="N311" s="9" t="n">
        <f aca="false">IF($L311="","",MAX(0,ROUND((TIMEVALUE($J311)-TIMEVALUE($L311))*1440,0)))</f>
        <v>0</v>
      </c>
      <c r="O311" s="9" t="n">
        <f aca="false">IF(OR($K311="",$L311=""),0,ROUND(VLOOKUP($H311,DM_CA_LAM!$A$4:$F$6,6,FALSE())-$M311/60-$N311/60,2))</f>
        <v>8</v>
      </c>
      <c r="P311" s="9" t="s">
        <v>108</v>
      </c>
      <c r="Q311" s="9" t="n">
        <v>0</v>
      </c>
      <c r="R311" s="10"/>
      <c r="S311" s="10"/>
      <c r="T311" s="9" t="str">
        <f aca="false">$B311&amp;"_"&amp;TEXT($F311,"yyyymmdd")</f>
        <v>NV010_20260624</v>
      </c>
      <c r="U311" s="9" t="str">
        <f aca="false">VLOOKUP($P311,DM_TRANG_THAI!$A$4:$B$9,2,FALSE())</f>
        <v>P</v>
      </c>
    </row>
    <row r="312" customFormat="false" ht="15.75" hidden="false" customHeight="true" outlineLevel="0" collapsed="false">
      <c r="A312" s="9" t="n">
        <v>309</v>
      </c>
      <c r="B312" s="9" t="s">
        <v>58</v>
      </c>
      <c r="C312" s="10" t="str">
        <f aca="false">VLOOKUP($B312,DM_NHAN_VIEN!$B$4:$F$18,2,FALSE())</f>
        <v>Chu Văn Minh</v>
      </c>
      <c r="D312" s="9" t="str">
        <f aca="false">VLOOKUP($B312,DM_NHAN_VIEN!$B$4:$F$18,3,FALSE())</f>
        <v>Nhân sự</v>
      </c>
      <c r="E312" s="9" t="str">
        <f aca="false">VLOOKUP($B312,DM_NHAN_VIEN!$B$4:$F$18,4,FALSE())</f>
        <v>Chuyên viên</v>
      </c>
      <c r="F312" s="18" t="n">
        <v>46197</v>
      </c>
      <c r="G312" s="9" t="str">
        <f aca="false">CHOOSE(WEEKDAY(F312,2),"Thứ Hai","Thứ Ba","Thứ Tư","Thứ Năm","Thứ Sáu","Thứ Bảy","Chủ Nhật")</f>
        <v>Thứ Tư</v>
      </c>
      <c r="H312" s="9" t="str">
        <f aca="false">VLOOKUP($B312,DM_NHAN_VIEN!$B$4:$F$18,5,FALSE())</f>
        <v>Ca Hành Chính</v>
      </c>
      <c r="I312" s="9" t="str">
        <f aca="false">VLOOKUP($H312,DM_CA_LAM!$A$4:$C$6,2,FALSE())</f>
        <v>07:30</v>
      </c>
      <c r="J312" s="9" t="str">
        <f aca="false">VLOOKUP($H312,DM_CA_LAM!$A$4:$C$6,3,FALSE())</f>
        <v>17:30</v>
      </c>
      <c r="K312" s="9" t="s">
        <v>145</v>
      </c>
      <c r="L312" s="9" t="s">
        <v>157</v>
      </c>
      <c r="M312" s="9" t="n">
        <f aca="false">IF($K312="","",MAX(0,ROUND((TIMEVALUE($K312)-TIMEVALUE($I312))*1440,0)))</f>
        <v>0</v>
      </c>
      <c r="N312" s="9" t="n">
        <f aca="false">IF($L312="","",MAX(0,ROUND((TIMEVALUE($J312)-TIMEVALUE($L312))*1440,0)))</f>
        <v>0</v>
      </c>
      <c r="O312" s="9" t="n">
        <f aca="false">IF(OR($K312="",$L312=""),0,ROUND(VLOOKUP($H312,DM_CA_LAM!$A$4:$F$6,6,FALSE())-$M312/60-$N312/60,2))</f>
        <v>8</v>
      </c>
      <c r="P312" s="9" t="s">
        <v>108</v>
      </c>
      <c r="Q312" s="9" t="n">
        <v>0</v>
      </c>
      <c r="R312" s="10"/>
      <c r="S312" s="10"/>
      <c r="T312" s="9" t="str">
        <f aca="false">$B312&amp;"_"&amp;TEXT($F312,"yyyymmdd")</f>
        <v>NV011_20260624</v>
      </c>
      <c r="U312" s="9" t="str">
        <f aca="false">VLOOKUP($P312,DM_TRANG_THAI!$A$4:$B$9,2,FALSE())</f>
        <v>P</v>
      </c>
    </row>
    <row r="313" customFormat="false" ht="15.75" hidden="false" customHeight="true" outlineLevel="0" collapsed="false">
      <c r="A313" s="9" t="n">
        <v>310</v>
      </c>
      <c r="B313" s="9" t="s">
        <v>61</v>
      </c>
      <c r="C313" s="10" t="str">
        <f aca="false">VLOOKUP($B313,DM_NHAN_VIEN!$B$4:$F$18,2,FALSE())</f>
        <v>Phan Thị Khánh</v>
      </c>
      <c r="D313" s="9" t="str">
        <f aca="false">VLOOKUP($B313,DM_NHAN_VIEN!$B$4:$F$18,3,FALSE())</f>
        <v>Kế toán</v>
      </c>
      <c r="E313" s="9" t="str">
        <f aca="false">VLOOKUP($B313,DM_NHAN_VIEN!$B$4:$F$18,4,FALSE())</f>
        <v>Trưởng phòng</v>
      </c>
      <c r="F313" s="18" t="n">
        <v>46197</v>
      </c>
      <c r="G313" s="9" t="str">
        <f aca="false">CHOOSE(WEEKDAY(F313,2),"Thứ Hai","Thứ Ba","Thứ Tư","Thứ Năm","Thứ Sáu","Thứ Bảy","Chủ Nhật")</f>
        <v>Thứ Tư</v>
      </c>
      <c r="H313" s="9" t="str">
        <f aca="false">VLOOKUP($B313,DM_NHAN_VIEN!$B$4:$F$18,5,FALSE())</f>
        <v>Ca Hành Chính</v>
      </c>
      <c r="I313" s="9" t="str">
        <f aca="false">VLOOKUP($H313,DM_CA_LAM!$A$4:$C$6,2,FALSE())</f>
        <v>07:30</v>
      </c>
      <c r="J313" s="9" t="str">
        <f aca="false">VLOOKUP($H313,DM_CA_LAM!$A$4:$C$6,3,FALSE())</f>
        <v>17:30</v>
      </c>
      <c r="K313" s="9" t="s">
        <v>167</v>
      </c>
      <c r="L313" s="9" t="s">
        <v>164</v>
      </c>
      <c r="M313" s="9" t="n">
        <f aca="false">IF($K313="","",MAX(0,ROUND((TIMEVALUE($K313)-TIMEVALUE($I313))*1440,0)))</f>
        <v>0</v>
      </c>
      <c r="N313" s="9" t="n">
        <f aca="false">IF($L313="","",MAX(0,ROUND((TIMEVALUE($J313)-TIMEVALUE($L313))*1440,0)))</f>
        <v>0</v>
      </c>
      <c r="O313" s="9" t="n">
        <f aca="false">IF(OR($K313="",$L313=""),0,ROUND(VLOOKUP($H313,DM_CA_LAM!$A$4:$F$6,6,FALSE())-$M313/60-$N313/60,2))</f>
        <v>8</v>
      </c>
      <c r="P313" s="9" t="s">
        <v>108</v>
      </c>
      <c r="Q313" s="9" t="n">
        <v>0</v>
      </c>
      <c r="R313" s="10"/>
      <c r="S313" s="10"/>
      <c r="T313" s="9" t="str">
        <f aca="false">$B313&amp;"_"&amp;TEXT($F313,"yyyymmdd")</f>
        <v>NV014_20260624</v>
      </c>
      <c r="U313" s="9" t="str">
        <f aca="false">VLOOKUP($P313,DM_TRANG_THAI!$A$4:$B$9,2,FALSE())</f>
        <v>P</v>
      </c>
    </row>
    <row r="314" customFormat="false" ht="15.75" hidden="false" customHeight="true" outlineLevel="0" collapsed="false">
      <c r="A314" s="9" t="n">
        <v>311</v>
      </c>
      <c r="B314" s="9" t="s">
        <v>65</v>
      </c>
      <c r="C314" s="10" t="str">
        <f aca="false">VLOOKUP($B314,DM_NHAN_VIEN!$B$4:$F$18,2,FALSE())</f>
        <v>Trịnh Văn Hùng</v>
      </c>
      <c r="D314" s="9" t="str">
        <f aca="false">VLOOKUP($B314,DM_NHAN_VIEN!$B$4:$F$18,3,FALSE())</f>
        <v>Kế toán</v>
      </c>
      <c r="E314" s="9" t="str">
        <f aca="false">VLOOKUP($B314,DM_NHAN_VIEN!$B$4:$F$18,4,FALSE())</f>
        <v>Phó phòng</v>
      </c>
      <c r="F314" s="18" t="n">
        <v>46197</v>
      </c>
      <c r="G314" s="9" t="str">
        <f aca="false">CHOOSE(WEEKDAY(F314,2),"Thứ Hai","Thứ Ba","Thứ Tư","Thứ Năm","Thứ Sáu","Thứ Bảy","Chủ Nhật")</f>
        <v>Thứ Tư</v>
      </c>
      <c r="H314" s="9" t="str">
        <f aca="false">VLOOKUP($B314,DM_NHAN_VIEN!$B$4:$F$18,5,FALSE())</f>
        <v>Ca Hành Chính</v>
      </c>
      <c r="I314" s="9" t="str">
        <f aca="false">VLOOKUP($H314,DM_CA_LAM!$A$4:$C$6,2,FALSE())</f>
        <v>07:30</v>
      </c>
      <c r="J314" s="9" t="str">
        <f aca="false">VLOOKUP($H314,DM_CA_LAM!$A$4:$C$6,3,FALSE())</f>
        <v>17:30</v>
      </c>
      <c r="K314" s="9" t="s">
        <v>147</v>
      </c>
      <c r="L314" s="9" t="s">
        <v>149</v>
      </c>
      <c r="M314" s="9" t="n">
        <f aca="false">IF($K314="","",MAX(0,ROUND((TIMEVALUE($K314)-TIMEVALUE($I314))*1440,0)))</f>
        <v>0</v>
      </c>
      <c r="N314" s="9" t="n">
        <f aca="false">IF($L314="","",MAX(0,ROUND((TIMEVALUE($J314)-TIMEVALUE($L314))*1440,0)))</f>
        <v>0</v>
      </c>
      <c r="O314" s="9" t="n">
        <f aca="false">IF(OR($K314="",$L314=""),0,ROUND(VLOOKUP($H314,DM_CA_LAM!$A$4:$F$6,6,FALSE())-$M314/60-$N314/60,2))</f>
        <v>8</v>
      </c>
      <c r="P314" s="9" t="s">
        <v>108</v>
      </c>
      <c r="Q314" s="9" t="n">
        <v>0</v>
      </c>
      <c r="R314" s="10"/>
      <c r="S314" s="10"/>
      <c r="T314" s="9" t="str">
        <f aca="false">$B314&amp;"_"&amp;TEXT($F314,"yyyymmdd")</f>
        <v>NV015_20260624</v>
      </c>
      <c r="U314" s="9" t="str">
        <f aca="false">VLOOKUP($P314,DM_TRANG_THAI!$A$4:$B$9,2,FALSE())</f>
        <v>P</v>
      </c>
    </row>
    <row r="315" customFormat="false" ht="15.75" hidden="false" customHeight="true" outlineLevel="0" collapsed="false">
      <c r="A315" s="9" t="n">
        <v>312</v>
      </c>
      <c r="B315" s="9" t="s">
        <v>68</v>
      </c>
      <c r="C315" s="10" t="str">
        <f aca="false">VLOOKUP($B315,DM_NHAN_VIEN!$B$4:$F$18,2,FALSE())</f>
        <v>Hoàng Văn Lộc</v>
      </c>
      <c r="D315" s="9" t="str">
        <f aca="false">VLOOKUP($B315,DM_NHAN_VIEN!$B$4:$F$18,3,FALSE())</f>
        <v>Kinh doanh</v>
      </c>
      <c r="E315" s="9" t="str">
        <f aca="false">VLOOKUP($B315,DM_NHAN_VIEN!$B$4:$F$18,4,FALSE())</f>
        <v>Trưởng phòng</v>
      </c>
      <c r="F315" s="18" t="n">
        <v>46197</v>
      </c>
      <c r="G315" s="9" t="str">
        <f aca="false">CHOOSE(WEEKDAY(F315,2),"Thứ Hai","Thứ Ba","Thứ Tư","Thứ Năm","Thứ Sáu","Thứ Bảy","Chủ Nhật")</f>
        <v>Thứ Tư</v>
      </c>
      <c r="H315" s="9" t="str">
        <f aca="false">VLOOKUP($B315,DM_NHAN_VIEN!$B$4:$F$18,5,FALSE())</f>
        <v>Ca Hành Chính</v>
      </c>
      <c r="I315" s="9" t="str">
        <f aca="false">VLOOKUP($H315,DM_CA_LAM!$A$4:$C$6,2,FALSE())</f>
        <v>07:30</v>
      </c>
      <c r="J315" s="9" t="str">
        <f aca="false">VLOOKUP($H315,DM_CA_LAM!$A$4:$C$6,3,FALSE())</f>
        <v>17:30</v>
      </c>
      <c r="K315" s="9" t="s">
        <v>161</v>
      </c>
      <c r="L315" s="9" t="s">
        <v>166</v>
      </c>
      <c r="M315" s="9" t="n">
        <f aca="false">IF($K315="","",MAX(0,ROUND((TIMEVALUE($K315)-TIMEVALUE($I315))*1440,0)))</f>
        <v>0</v>
      </c>
      <c r="N315" s="9" t="n">
        <f aca="false">IF($L315="","",MAX(0,ROUND((TIMEVALUE($J315)-TIMEVALUE($L315))*1440,0)))</f>
        <v>0</v>
      </c>
      <c r="O315" s="9" t="n">
        <f aca="false">IF(OR($K315="",$L315=""),0,ROUND(VLOOKUP($H315,DM_CA_LAM!$A$4:$F$6,6,FALSE())-$M315/60-$N315/60,2))</f>
        <v>8</v>
      </c>
      <c r="P315" s="9" t="s">
        <v>108</v>
      </c>
      <c r="Q315" s="9" t="n">
        <v>0</v>
      </c>
      <c r="R315" s="10"/>
      <c r="S315" s="10"/>
      <c r="T315" s="9" t="str">
        <f aca="false">$B315&amp;"_"&amp;TEXT($F315,"yyyymmdd")</f>
        <v>NV019_20260624</v>
      </c>
      <c r="U315" s="9" t="str">
        <f aca="false">VLOOKUP($P315,DM_TRANG_THAI!$A$4:$B$9,2,FALSE())</f>
        <v>P</v>
      </c>
    </row>
    <row r="316" customFormat="false" ht="15.75" hidden="false" customHeight="true" outlineLevel="0" collapsed="false">
      <c r="A316" s="9" t="n">
        <v>313</v>
      </c>
      <c r="B316" s="9" t="s">
        <v>72</v>
      </c>
      <c r="C316" s="10" t="str">
        <f aca="false">VLOOKUP($B316,DM_NHAN_VIEN!$B$4:$F$18,2,FALSE())</f>
        <v>Nguyễn Văn Phú</v>
      </c>
      <c r="D316" s="9" t="str">
        <f aca="false">VLOOKUP($B316,DM_NHAN_VIEN!$B$4:$F$18,3,FALSE())</f>
        <v>Kinh doanh</v>
      </c>
      <c r="E316" s="9" t="str">
        <f aca="false">VLOOKUP($B316,DM_NHAN_VIEN!$B$4:$F$18,4,FALSE())</f>
        <v>Nhân viên</v>
      </c>
      <c r="F316" s="18" t="n">
        <v>46197</v>
      </c>
      <c r="G316" s="9" t="str">
        <f aca="false">CHOOSE(WEEKDAY(F316,2),"Thứ Hai","Thứ Ba","Thứ Tư","Thứ Năm","Thứ Sáu","Thứ Bảy","Chủ Nhật")</f>
        <v>Thứ Tư</v>
      </c>
      <c r="H316" s="9" t="str">
        <f aca="false">VLOOKUP($B316,DM_NHAN_VIEN!$B$4:$F$18,5,FALSE())</f>
        <v>Ca Hành Chính</v>
      </c>
      <c r="I316" s="9" t="str">
        <f aca="false">VLOOKUP($H316,DM_CA_LAM!$A$4:$C$6,2,FALSE())</f>
        <v>07:30</v>
      </c>
      <c r="J316" s="9" t="str">
        <f aca="false">VLOOKUP($H316,DM_CA_LAM!$A$4:$C$6,3,FALSE())</f>
        <v>17:30</v>
      </c>
      <c r="K316" s="9" t="s">
        <v>150</v>
      </c>
      <c r="L316" s="9" t="s">
        <v>162</v>
      </c>
      <c r="M316" s="9" t="n">
        <f aca="false">IF($K316="","",MAX(0,ROUND((TIMEVALUE($K316)-TIMEVALUE($I316))*1440,0)))</f>
        <v>0</v>
      </c>
      <c r="N316" s="9" t="n">
        <f aca="false">IF($L316="","",MAX(0,ROUND((TIMEVALUE($J316)-TIMEVALUE($L316))*1440,0)))</f>
        <v>0</v>
      </c>
      <c r="O316" s="9" t="n">
        <f aca="false">IF(OR($K316="",$L316=""),0,ROUND(VLOOKUP($H316,DM_CA_LAM!$A$4:$F$6,6,FALSE())-$M316/60-$N316/60,2))</f>
        <v>8</v>
      </c>
      <c r="P316" s="9" t="s">
        <v>108</v>
      </c>
      <c r="Q316" s="9" t="n">
        <v>0</v>
      </c>
      <c r="R316" s="10"/>
      <c r="S316" s="10"/>
      <c r="T316" s="9" t="str">
        <f aca="false">$B316&amp;"_"&amp;TEXT($F316,"yyyymmdd")</f>
        <v>NV021_20260624</v>
      </c>
      <c r="U316" s="9" t="str">
        <f aca="false">VLOOKUP($P316,DM_TRANG_THAI!$A$4:$B$9,2,FALSE())</f>
        <v>P</v>
      </c>
    </row>
    <row r="317" customFormat="false" ht="15.75" hidden="false" customHeight="true" outlineLevel="0" collapsed="false">
      <c r="A317" s="9" t="n">
        <v>314</v>
      </c>
      <c r="B317" s="9" t="s">
        <v>76</v>
      </c>
      <c r="C317" s="10" t="str">
        <f aca="false">VLOOKUP($B317,DM_NHAN_VIEN!$B$4:$F$18,2,FALSE())</f>
        <v>Lý Văn Dũng</v>
      </c>
      <c r="D317" s="9" t="str">
        <f aca="false">VLOOKUP($B317,DM_NHAN_VIEN!$B$4:$F$18,3,FALSE())</f>
        <v>Xưởng sản xuất</v>
      </c>
      <c r="E317" s="9" t="str">
        <f aca="false">VLOOKUP($B317,DM_NHAN_VIEN!$B$4:$F$18,4,FALSE())</f>
        <v>Tổ trưởng</v>
      </c>
      <c r="F317" s="18" t="n">
        <v>46197</v>
      </c>
      <c r="G317" s="9" t="str">
        <f aca="false">CHOOSE(WEEKDAY(F317,2),"Thứ Hai","Thứ Ba","Thứ Tư","Thứ Năm","Thứ Sáu","Thứ Bảy","Chủ Nhật")</f>
        <v>Thứ Tư</v>
      </c>
      <c r="H317" s="9" t="str">
        <f aca="false">VLOOKUP($B317,DM_NHAN_VIEN!$B$4:$F$18,5,FALSE())</f>
        <v>Ca Hành Chính</v>
      </c>
      <c r="I317" s="9" t="str">
        <f aca="false">VLOOKUP($H317,DM_CA_LAM!$A$4:$C$6,2,FALSE())</f>
        <v>07:30</v>
      </c>
      <c r="J317" s="9" t="str">
        <f aca="false">VLOOKUP($H317,DM_CA_LAM!$A$4:$C$6,3,FALSE())</f>
        <v>17:30</v>
      </c>
      <c r="K317" s="9" t="s">
        <v>147</v>
      </c>
      <c r="L317" s="9" t="s">
        <v>174</v>
      </c>
      <c r="M317" s="9" t="n">
        <f aca="false">IF($K317="","",MAX(0,ROUND((TIMEVALUE($K317)-TIMEVALUE($I317))*1440,0)))</f>
        <v>0</v>
      </c>
      <c r="N317" s="9" t="n">
        <f aca="false">IF($L317="","",MAX(0,ROUND((TIMEVALUE($J317)-TIMEVALUE($L317))*1440,0)))</f>
        <v>0</v>
      </c>
      <c r="O317" s="9" t="n">
        <f aca="false">IF(OR($K317="",$L317=""),0,ROUND(VLOOKUP($H317,DM_CA_LAM!$A$4:$F$6,6,FALSE())-$M317/60-$N317/60,2))</f>
        <v>8</v>
      </c>
      <c r="P317" s="9" t="s">
        <v>108</v>
      </c>
      <c r="Q317" s="9" t="n">
        <v>0</v>
      </c>
      <c r="R317" s="10"/>
      <c r="S317" s="10"/>
      <c r="T317" s="9" t="str">
        <f aca="false">$B317&amp;"_"&amp;TEXT($F317,"yyyymmdd")</f>
        <v>NV029_20260624</v>
      </c>
      <c r="U317" s="9" t="str">
        <f aca="false">VLOOKUP($P317,DM_TRANG_THAI!$A$4:$B$9,2,FALSE())</f>
        <v>P</v>
      </c>
    </row>
    <row r="318" customFormat="false" ht="15.75" hidden="false" customHeight="true" outlineLevel="0" collapsed="false">
      <c r="A318" s="9" t="n">
        <v>315</v>
      </c>
      <c r="B318" s="9" t="s">
        <v>80</v>
      </c>
      <c r="C318" s="10" t="str">
        <f aca="false">VLOOKUP($B318,DM_NHAN_VIEN!$B$4:$F$18,2,FALSE())</f>
        <v>Tống Văn Thắng</v>
      </c>
      <c r="D318" s="9" t="str">
        <f aca="false">VLOOKUP($B318,DM_NHAN_VIEN!$B$4:$F$18,3,FALSE())</f>
        <v>Xưởng sản xuất</v>
      </c>
      <c r="E318" s="9" t="str">
        <f aca="false">VLOOKUP($B318,DM_NHAN_VIEN!$B$4:$F$18,4,FALSE())</f>
        <v>Tổ trưởng</v>
      </c>
      <c r="F318" s="18" t="n">
        <v>46197</v>
      </c>
      <c r="G318" s="9" t="str">
        <f aca="false">CHOOSE(WEEKDAY(F318,2),"Thứ Hai","Thứ Ba","Thứ Tư","Thứ Năm","Thứ Sáu","Thứ Bảy","Chủ Nhật")</f>
        <v>Thứ Tư</v>
      </c>
      <c r="H318" s="9" t="str">
        <f aca="false">VLOOKUP($B318,DM_NHAN_VIEN!$B$4:$F$18,5,FALSE())</f>
        <v>Ca Hành Chính</v>
      </c>
      <c r="I318" s="9" t="str">
        <f aca="false">VLOOKUP($H318,DM_CA_LAM!$A$4:$C$6,2,FALSE())</f>
        <v>07:30</v>
      </c>
      <c r="J318" s="9" t="str">
        <f aca="false">VLOOKUP($H318,DM_CA_LAM!$A$4:$C$6,3,FALSE())</f>
        <v>17:30</v>
      </c>
      <c r="K318" s="9" t="s">
        <v>148</v>
      </c>
      <c r="L318" s="9" t="s">
        <v>93</v>
      </c>
      <c r="M318" s="9" t="n">
        <f aca="false">IF($K318="","",MAX(0,ROUND((TIMEVALUE($K318)-TIMEVALUE($I318))*1440,0)))</f>
        <v>0</v>
      </c>
      <c r="N318" s="9" t="n">
        <f aca="false">IF($L318="","",MAX(0,ROUND((TIMEVALUE($J318)-TIMEVALUE($L318))*1440,0)))</f>
        <v>0</v>
      </c>
      <c r="O318" s="9" t="n">
        <f aca="false">IF(OR($K318="",$L318=""),0,ROUND(VLOOKUP($H318,DM_CA_LAM!$A$4:$F$6,6,FALSE())-$M318/60-$N318/60,2))</f>
        <v>8</v>
      </c>
      <c r="P318" s="9" t="s">
        <v>108</v>
      </c>
      <c r="Q318" s="9" t="n">
        <v>0</v>
      </c>
      <c r="R318" s="10"/>
      <c r="S318" s="10"/>
      <c r="T318" s="9" t="str">
        <f aca="false">$B318&amp;"_"&amp;TEXT($F318,"yyyymmdd")</f>
        <v>NV030_20260624</v>
      </c>
      <c r="U318" s="9" t="str">
        <f aca="false">VLOOKUP($P318,DM_TRANG_THAI!$A$4:$B$9,2,FALSE())</f>
        <v>P</v>
      </c>
    </row>
    <row r="319" customFormat="false" ht="15.75" hidden="false" customHeight="true" outlineLevel="0" collapsed="false">
      <c r="A319" s="9" t="n">
        <v>316</v>
      </c>
      <c r="B319" s="9" t="s">
        <v>24</v>
      </c>
      <c r="C319" s="10" t="str">
        <f aca="false">VLOOKUP($B319,DM_NHAN_VIEN!$B$4:$F$18,2,FALSE())</f>
        <v>Nguyễn Văn Giám Đốc</v>
      </c>
      <c r="D319" s="9" t="str">
        <f aca="false">VLOOKUP($B319,DM_NHAN_VIEN!$B$4:$F$18,3,FALSE())</f>
        <v>Hành chính</v>
      </c>
      <c r="E319" s="9" t="str">
        <f aca="false">VLOOKUP($B319,DM_NHAN_VIEN!$B$4:$F$18,4,FALSE())</f>
        <v>Giám đốc</v>
      </c>
      <c r="F319" s="18" t="n">
        <v>46198</v>
      </c>
      <c r="G319" s="9" t="str">
        <f aca="false">CHOOSE(WEEKDAY(F319,2),"Thứ Hai","Thứ Ba","Thứ Tư","Thứ Năm","Thứ Sáu","Thứ Bảy","Chủ Nhật")</f>
        <v>Thứ Năm</v>
      </c>
      <c r="H319" s="9" t="str">
        <f aca="false">VLOOKUP($B319,DM_NHAN_VIEN!$B$4:$F$18,5,FALSE())</f>
        <v>Ca Hành Chính</v>
      </c>
      <c r="I319" s="9" t="str">
        <f aca="false">VLOOKUP($H319,DM_CA_LAM!$A$4:$C$6,2,FALSE())</f>
        <v>07:30</v>
      </c>
      <c r="J319" s="9" t="str">
        <f aca="false">VLOOKUP($H319,DM_CA_LAM!$A$4:$C$6,3,FALSE())</f>
        <v>17:30</v>
      </c>
      <c r="K319" s="9" t="s">
        <v>198</v>
      </c>
      <c r="L319" s="9" t="s">
        <v>144</v>
      </c>
      <c r="M319" s="9" t="n">
        <f aca="false">IF($K319="","",MAX(0,ROUND((TIMEVALUE($K319)-TIMEVALUE($I319))*1440,0)))</f>
        <v>15</v>
      </c>
      <c r="N319" s="9" t="n">
        <f aca="false">IF($L319="","",MAX(0,ROUND((TIMEVALUE($J319)-TIMEVALUE($L319))*1440,0)))</f>
        <v>0</v>
      </c>
      <c r="O319" s="9" t="n">
        <f aca="false">IF(OR($K319="",$L319=""),0,ROUND(VLOOKUP($H319,DM_CA_LAM!$A$4:$F$6,6,FALSE())-$M319/60-$N319/60,2))</f>
        <v>7.75</v>
      </c>
      <c r="P319" s="9" t="s">
        <v>111</v>
      </c>
      <c r="Q319" s="9" t="n">
        <v>0</v>
      </c>
      <c r="R319" s="10"/>
      <c r="S319" s="10"/>
      <c r="T319" s="9" t="str">
        <f aca="false">$B319&amp;"_"&amp;TEXT($F319,"yyyymmdd")</f>
        <v>NV002_20260625</v>
      </c>
      <c r="U319" s="9" t="str">
        <f aca="false">VLOOKUP($P319,DM_TRANG_THAI!$A$4:$B$9,2,FALSE())</f>
        <v>L</v>
      </c>
    </row>
    <row r="320" customFormat="false" ht="15.75" hidden="false" customHeight="true" outlineLevel="0" collapsed="false">
      <c r="A320" s="9" t="n">
        <v>317</v>
      </c>
      <c r="B320" s="9" t="s">
        <v>30</v>
      </c>
      <c r="C320" s="10" t="str">
        <f aca="false">VLOOKUP($B320,DM_NHAN_VIEN!$B$4:$F$18,2,FALSE())</f>
        <v>Trần Thị Nhân Sự</v>
      </c>
      <c r="D320" s="9" t="str">
        <f aca="false">VLOOKUP($B320,DM_NHAN_VIEN!$B$4:$F$18,3,FALSE())</f>
        <v>Nhân sự</v>
      </c>
      <c r="E320" s="9" t="str">
        <f aca="false">VLOOKUP($B320,DM_NHAN_VIEN!$B$4:$F$18,4,FALSE())</f>
        <v>Trưởng phòng</v>
      </c>
      <c r="F320" s="18" t="n">
        <v>46198</v>
      </c>
      <c r="G320" s="9" t="str">
        <f aca="false">CHOOSE(WEEKDAY(F320,2),"Thứ Hai","Thứ Ba","Thứ Tư","Thứ Năm","Thứ Sáu","Thứ Bảy","Chủ Nhật")</f>
        <v>Thứ Năm</v>
      </c>
      <c r="H320" s="9" t="str">
        <f aca="false">VLOOKUP($B320,DM_NHAN_VIEN!$B$4:$F$18,5,FALSE())</f>
        <v>Ca Hành Chính</v>
      </c>
      <c r="I320" s="9" t="str">
        <f aca="false">VLOOKUP($H320,DM_CA_LAM!$A$4:$C$6,2,FALSE())</f>
        <v>07:30</v>
      </c>
      <c r="J320" s="9" t="str">
        <f aca="false">VLOOKUP($H320,DM_CA_LAM!$A$4:$C$6,3,FALSE())</f>
        <v>17:30</v>
      </c>
      <c r="K320" s="9" t="s">
        <v>156</v>
      </c>
      <c r="L320" s="9" t="s">
        <v>143</v>
      </c>
      <c r="M320" s="9" t="n">
        <f aca="false">IF($K320="","",MAX(0,ROUND((TIMEVALUE($K320)-TIMEVALUE($I320))*1440,0)))</f>
        <v>0</v>
      </c>
      <c r="N320" s="9" t="n">
        <f aca="false">IF($L320="","",MAX(0,ROUND((TIMEVALUE($J320)-TIMEVALUE($L320))*1440,0)))</f>
        <v>0</v>
      </c>
      <c r="O320" s="9" t="n">
        <f aca="false">IF(OR($K320="",$L320=""),0,ROUND(VLOOKUP($H320,DM_CA_LAM!$A$4:$F$6,6,FALSE())-$M320/60-$N320/60,2))</f>
        <v>8</v>
      </c>
      <c r="P320" s="9" t="s">
        <v>108</v>
      </c>
      <c r="Q320" s="9" t="n">
        <v>0</v>
      </c>
      <c r="R320" s="10"/>
      <c r="S320" s="10"/>
      <c r="T320" s="9" t="str">
        <f aca="false">$B320&amp;"_"&amp;TEXT($F320,"yyyymmdd")</f>
        <v>NV003_20260625</v>
      </c>
      <c r="U320" s="9" t="str">
        <f aca="false">VLOOKUP($P320,DM_TRANG_THAI!$A$4:$B$9,2,FALSE())</f>
        <v>P</v>
      </c>
    </row>
    <row r="321" customFormat="false" ht="15.75" hidden="false" customHeight="true" outlineLevel="0" collapsed="false">
      <c r="A321" s="9" t="n">
        <v>318</v>
      </c>
      <c r="B321" s="9" t="s">
        <v>35</v>
      </c>
      <c r="C321" s="10" t="str">
        <f aca="false">VLOOKUP($B321,DM_NHAN_VIEN!$B$4:$F$18,2,FALSE())</f>
        <v>Lê Văn Quản Đốc</v>
      </c>
      <c r="D321" s="9" t="str">
        <f aca="false">VLOOKUP($B321,DM_NHAN_VIEN!$B$4:$F$18,3,FALSE())</f>
        <v>Xưởng sản xuất</v>
      </c>
      <c r="E321" s="9" t="str">
        <f aca="false">VLOOKUP($B321,DM_NHAN_VIEN!$B$4:$F$18,4,FALSE())</f>
        <v>Quản đốc</v>
      </c>
      <c r="F321" s="18" t="n">
        <v>46198</v>
      </c>
      <c r="G321" s="9" t="str">
        <f aca="false">CHOOSE(WEEKDAY(F321,2),"Thứ Hai","Thứ Ba","Thứ Tư","Thứ Năm","Thứ Sáu","Thứ Bảy","Chủ Nhật")</f>
        <v>Thứ Năm</v>
      </c>
      <c r="H321" s="9" t="str">
        <f aca="false">VLOOKUP($B321,DM_NHAN_VIEN!$B$4:$F$18,5,FALSE())</f>
        <v>Ca Hành Chính</v>
      </c>
      <c r="I321" s="9" t="str">
        <f aca="false">VLOOKUP($H321,DM_CA_LAM!$A$4:$C$6,2,FALSE())</f>
        <v>07:30</v>
      </c>
      <c r="J321" s="9" t="str">
        <f aca="false">VLOOKUP($H321,DM_CA_LAM!$A$4:$C$6,3,FALSE())</f>
        <v>17:30</v>
      </c>
      <c r="K321" s="9" t="s">
        <v>92</v>
      </c>
      <c r="L321" s="9" t="s">
        <v>159</v>
      </c>
      <c r="M321" s="9" t="n">
        <f aca="false">IF($K321="","",MAX(0,ROUND((TIMEVALUE($K321)-TIMEVALUE($I321))*1440,0)))</f>
        <v>0</v>
      </c>
      <c r="N321" s="9" t="n">
        <f aca="false">IF($L321="","",MAX(0,ROUND((TIMEVALUE($J321)-TIMEVALUE($L321))*1440,0)))</f>
        <v>0</v>
      </c>
      <c r="O321" s="9" t="n">
        <f aca="false">IF(OR($K321="",$L321=""),0,ROUND(VLOOKUP($H321,DM_CA_LAM!$A$4:$F$6,6,FALSE())-$M321/60-$N321/60,2))</f>
        <v>8</v>
      </c>
      <c r="P321" s="9" t="s">
        <v>108</v>
      </c>
      <c r="Q321" s="9" t="n">
        <v>0</v>
      </c>
      <c r="R321" s="10"/>
      <c r="S321" s="10"/>
      <c r="T321" s="9" t="str">
        <f aca="false">$B321&amp;"_"&amp;TEXT($F321,"yyyymmdd")</f>
        <v>NV004_20260625</v>
      </c>
      <c r="U321" s="9" t="str">
        <f aca="false">VLOOKUP($P321,DM_TRANG_THAI!$A$4:$B$9,2,FALSE())</f>
        <v>P</v>
      </c>
    </row>
    <row r="322" customFormat="false" ht="15.75" hidden="false" customHeight="true" outlineLevel="0" collapsed="false">
      <c r="A322" s="9" t="n">
        <v>319</v>
      </c>
      <c r="B322" s="9" t="s">
        <v>40</v>
      </c>
      <c r="C322" s="10" t="str">
        <f aca="false">VLOOKUP($B322,DM_NHAN_VIEN!$B$4:$F$18,2,FALSE())</f>
        <v>Phạm Công Nhân</v>
      </c>
      <c r="D322" s="9" t="str">
        <f aca="false">VLOOKUP($B322,DM_NHAN_VIEN!$B$4:$F$18,3,FALSE())</f>
        <v>Xưởng sản xuất</v>
      </c>
      <c r="E322" s="9" t="str">
        <f aca="false">VLOOKUP($B322,DM_NHAN_VIEN!$B$4:$F$18,4,FALSE())</f>
        <v>Công nhân</v>
      </c>
      <c r="F322" s="18" t="n">
        <v>46198</v>
      </c>
      <c r="G322" s="9" t="str">
        <f aca="false">CHOOSE(WEEKDAY(F322,2),"Thứ Hai","Thứ Ba","Thứ Tư","Thứ Năm","Thứ Sáu","Thứ Bảy","Chủ Nhật")</f>
        <v>Thứ Năm</v>
      </c>
      <c r="H322" s="9" t="str">
        <f aca="false">VLOOKUP($B322,DM_NHAN_VIEN!$B$4:$F$18,5,FALSE())</f>
        <v>Ca Hành Chính</v>
      </c>
      <c r="I322" s="9" t="str">
        <f aca="false">VLOOKUP($H322,DM_CA_LAM!$A$4:$C$6,2,FALSE())</f>
        <v>07:30</v>
      </c>
      <c r="J322" s="9" t="str">
        <f aca="false">VLOOKUP($H322,DM_CA_LAM!$A$4:$C$6,3,FALSE())</f>
        <v>17:30</v>
      </c>
      <c r="K322" s="9" t="s">
        <v>161</v>
      </c>
      <c r="L322" s="9" t="s">
        <v>174</v>
      </c>
      <c r="M322" s="9" t="n">
        <f aca="false">IF($K322="","",MAX(0,ROUND((TIMEVALUE($K322)-TIMEVALUE($I322))*1440,0)))</f>
        <v>0</v>
      </c>
      <c r="N322" s="9" t="n">
        <f aca="false">IF($L322="","",MAX(0,ROUND((TIMEVALUE($J322)-TIMEVALUE($L322))*1440,0)))</f>
        <v>0</v>
      </c>
      <c r="O322" s="9" t="n">
        <f aca="false">IF(OR($K322="",$L322=""),0,ROUND(VLOOKUP($H322,DM_CA_LAM!$A$4:$F$6,6,FALSE())-$M322/60-$N322/60,2))</f>
        <v>8</v>
      </c>
      <c r="P322" s="9" t="s">
        <v>108</v>
      </c>
      <c r="Q322" s="9" t="n">
        <v>0</v>
      </c>
      <c r="R322" s="10"/>
      <c r="S322" s="10"/>
      <c r="T322" s="9" t="str">
        <f aca="false">$B322&amp;"_"&amp;TEXT($F322,"yyyymmdd")</f>
        <v>NV005_20260625</v>
      </c>
      <c r="U322" s="9" t="str">
        <f aca="false">VLOOKUP($P322,DM_TRANG_THAI!$A$4:$B$9,2,FALSE())</f>
        <v>P</v>
      </c>
    </row>
    <row r="323" customFormat="false" ht="15.75" hidden="false" customHeight="true" outlineLevel="0" collapsed="false">
      <c r="A323" s="9" t="n">
        <v>320</v>
      </c>
      <c r="B323" s="9" t="s">
        <v>44</v>
      </c>
      <c r="C323" s="10" t="str">
        <f aca="false">VLOOKUP($B323,DM_NHAN_VIEN!$B$4:$F$18,2,FALSE())</f>
        <v>Đỗ Thị Hà</v>
      </c>
      <c r="D323" s="9" t="str">
        <f aca="false">VLOOKUP($B323,DM_NHAN_VIEN!$B$4:$F$18,3,FALSE())</f>
        <v>Hành chính</v>
      </c>
      <c r="E323" s="9" t="str">
        <f aca="false">VLOOKUP($B323,DM_NHAN_VIEN!$B$4:$F$18,4,FALSE())</f>
        <v>Trưởng phòng</v>
      </c>
      <c r="F323" s="18" t="n">
        <v>46198</v>
      </c>
      <c r="G323" s="9" t="str">
        <f aca="false">CHOOSE(WEEKDAY(F323,2),"Thứ Hai","Thứ Ba","Thứ Tư","Thứ Năm","Thứ Sáu","Thứ Bảy","Chủ Nhật")</f>
        <v>Thứ Năm</v>
      </c>
      <c r="H323" s="9" t="str">
        <f aca="false">VLOOKUP($B323,DM_NHAN_VIEN!$B$4:$F$18,5,FALSE())</f>
        <v>Ca Hành Chính</v>
      </c>
      <c r="I323" s="9" t="str">
        <f aca="false">VLOOKUP($H323,DM_CA_LAM!$A$4:$C$6,2,FALSE())</f>
        <v>07:30</v>
      </c>
      <c r="J323" s="9" t="str">
        <f aca="false">VLOOKUP($H323,DM_CA_LAM!$A$4:$C$6,3,FALSE())</f>
        <v>17:30</v>
      </c>
      <c r="K323" s="9" t="s">
        <v>150</v>
      </c>
      <c r="L323" s="9" t="s">
        <v>165</v>
      </c>
      <c r="M323" s="9" t="n">
        <f aca="false">IF($K323="","",MAX(0,ROUND((TIMEVALUE($K323)-TIMEVALUE($I323))*1440,0)))</f>
        <v>0</v>
      </c>
      <c r="N323" s="9" t="n">
        <f aca="false">IF($L323="","",MAX(0,ROUND((TIMEVALUE($J323)-TIMEVALUE($L323))*1440,0)))</f>
        <v>0</v>
      </c>
      <c r="O323" s="9" t="n">
        <f aca="false">IF(OR($K323="",$L323=""),0,ROUND(VLOOKUP($H323,DM_CA_LAM!$A$4:$F$6,6,FALSE())-$M323/60-$N323/60,2))</f>
        <v>8</v>
      </c>
      <c r="P323" s="9" t="s">
        <v>108</v>
      </c>
      <c r="Q323" s="9" t="n">
        <v>0</v>
      </c>
      <c r="R323" s="10"/>
      <c r="S323" s="10"/>
      <c r="T323" s="9" t="str">
        <f aca="false">$B323&amp;"_"&amp;TEXT($F323,"yyyymmdd")</f>
        <v>NV006_20260625</v>
      </c>
      <c r="U323" s="9" t="str">
        <f aca="false">VLOOKUP($P323,DM_TRANG_THAI!$A$4:$B$9,2,FALSE())</f>
        <v>P</v>
      </c>
    </row>
    <row r="324" customFormat="false" ht="15.75" hidden="false" customHeight="true" outlineLevel="0" collapsed="false">
      <c r="A324" s="9" t="n">
        <v>321</v>
      </c>
      <c r="B324" s="9" t="s">
        <v>47</v>
      </c>
      <c r="C324" s="10" t="str">
        <f aca="false">VLOOKUP($B324,DM_NHAN_VIEN!$B$4:$F$18,2,FALSE())</f>
        <v>Ngô Văn Tài</v>
      </c>
      <c r="D324" s="9" t="str">
        <f aca="false">VLOOKUP($B324,DM_NHAN_VIEN!$B$4:$F$18,3,FALSE())</f>
        <v>Hành chính</v>
      </c>
      <c r="E324" s="9" t="str">
        <f aca="false">VLOOKUP($B324,DM_NHAN_VIEN!$B$4:$F$18,4,FALSE())</f>
        <v>Phó phòng</v>
      </c>
      <c r="F324" s="18" t="n">
        <v>46198</v>
      </c>
      <c r="G324" s="9" t="str">
        <f aca="false">CHOOSE(WEEKDAY(F324,2),"Thứ Hai","Thứ Ba","Thứ Tư","Thứ Năm","Thứ Sáu","Thứ Bảy","Chủ Nhật")</f>
        <v>Thứ Năm</v>
      </c>
      <c r="H324" s="9" t="str">
        <f aca="false">VLOOKUP($B324,DM_NHAN_VIEN!$B$4:$F$18,5,FALSE())</f>
        <v>Ca Hành Chính</v>
      </c>
      <c r="I324" s="9" t="str">
        <f aca="false">VLOOKUP($H324,DM_CA_LAM!$A$4:$C$6,2,FALSE())</f>
        <v>07:30</v>
      </c>
      <c r="J324" s="9" t="str">
        <f aca="false">VLOOKUP($H324,DM_CA_LAM!$A$4:$C$6,3,FALSE())</f>
        <v>17:30</v>
      </c>
      <c r="K324" s="9" t="s">
        <v>147</v>
      </c>
      <c r="L324" s="9" t="s">
        <v>166</v>
      </c>
      <c r="M324" s="9" t="n">
        <f aca="false">IF($K324="","",MAX(0,ROUND((TIMEVALUE($K324)-TIMEVALUE($I324))*1440,0)))</f>
        <v>0</v>
      </c>
      <c r="N324" s="9" t="n">
        <f aca="false">IF($L324="","",MAX(0,ROUND((TIMEVALUE($J324)-TIMEVALUE($L324))*1440,0)))</f>
        <v>0</v>
      </c>
      <c r="O324" s="9" t="n">
        <f aca="false">IF(OR($K324="",$L324=""),0,ROUND(VLOOKUP($H324,DM_CA_LAM!$A$4:$F$6,6,FALSE())-$M324/60-$N324/60,2))</f>
        <v>8</v>
      </c>
      <c r="P324" s="9" t="s">
        <v>108</v>
      </c>
      <c r="Q324" s="9" t="n">
        <v>2</v>
      </c>
      <c r="R324" s="10" t="s">
        <v>184</v>
      </c>
      <c r="S324" s="10"/>
      <c r="T324" s="9" t="str">
        <f aca="false">$B324&amp;"_"&amp;TEXT($F324,"yyyymmdd")</f>
        <v>NV007_20260625</v>
      </c>
      <c r="U324" s="9" t="str">
        <f aca="false">VLOOKUP($P324,DM_TRANG_THAI!$A$4:$B$9,2,FALSE())</f>
        <v>P</v>
      </c>
    </row>
    <row r="325" customFormat="false" ht="15.75" hidden="false" customHeight="true" outlineLevel="0" collapsed="false">
      <c r="A325" s="9" t="n">
        <v>322</v>
      </c>
      <c r="B325" s="9" t="s">
        <v>51</v>
      </c>
      <c r="C325" s="10" t="str">
        <f aca="false">VLOOKUP($B325,DM_NHAN_VIEN!$B$4:$F$18,2,FALSE())</f>
        <v>Vũ Thị Nga</v>
      </c>
      <c r="D325" s="9" t="str">
        <f aca="false">VLOOKUP($B325,DM_NHAN_VIEN!$B$4:$F$18,3,FALSE())</f>
        <v>Hành chính</v>
      </c>
      <c r="E325" s="9" t="str">
        <f aca="false">VLOOKUP($B325,DM_NHAN_VIEN!$B$4:$F$18,4,FALSE())</f>
        <v>Chuyên viên</v>
      </c>
      <c r="F325" s="18" t="n">
        <v>46198</v>
      </c>
      <c r="G325" s="9" t="str">
        <f aca="false">CHOOSE(WEEKDAY(F325,2),"Thứ Hai","Thứ Ba","Thứ Tư","Thứ Năm","Thứ Sáu","Thứ Bảy","Chủ Nhật")</f>
        <v>Thứ Năm</v>
      </c>
      <c r="H325" s="9" t="str">
        <f aca="false">VLOOKUP($B325,DM_NHAN_VIEN!$B$4:$F$18,5,FALSE())</f>
        <v>Ca Hành Chính</v>
      </c>
      <c r="I325" s="9" t="str">
        <f aca="false">VLOOKUP($H325,DM_CA_LAM!$A$4:$C$6,2,FALSE())</f>
        <v>07:30</v>
      </c>
      <c r="J325" s="9" t="str">
        <f aca="false">VLOOKUP($H325,DM_CA_LAM!$A$4:$C$6,3,FALSE())</f>
        <v>17:30</v>
      </c>
      <c r="K325" s="9" t="s">
        <v>150</v>
      </c>
      <c r="L325" s="9" t="s">
        <v>165</v>
      </c>
      <c r="M325" s="9" t="n">
        <f aca="false">IF($K325="","",MAX(0,ROUND((TIMEVALUE($K325)-TIMEVALUE($I325))*1440,0)))</f>
        <v>0</v>
      </c>
      <c r="N325" s="9" t="n">
        <f aca="false">IF($L325="","",MAX(0,ROUND((TIMEVALUE($J325)-TIMEVALUE($L325))*1440,0)))</f>
        <v>0</v>
      </c>
      <c r="O325" s="9" t="n">
        <f aca="false">IF(OR($K325="",$L325=""),0,ROUND(VLOOKUP($H325,DM_CA_LAM!$A$4:$F$6,6,FALSE())-$M325/60-$N325/60,2))</f>
        <v>8</v>
      </c>
      <c r="P325" s="9" t="s">
        <v>108</v>
      </c>
      <c r="Q325" s="9" t="n">
        <v>1</v>
      </c>
      <c r="R325" s="10" t="s">
        <v>184</v>
      </c>
      <c r="S325" s="10"/>
      <c r="T325" s="9" t="str">
        <f aca="false">$B325&amp;"_"&amp;TEXT($F325,"yyyymmdd")</f>
        <v>NV008_20260625</v>
      </c>
      <c r="U325" s="9" t="str">
        <f aca="false">VLOOKUP($P325,DM_TRANG_THAI!$A$4:$B$9,2,FALSE())</f>
        <v>P</v>
      </c>
    </row>
    <row r="326" customFormat="false" ht="15.75" hidden="false" customHeight="true" outlineLevel="0" collapsed="false">
      <c r="A326" s="9" t="n">
        <v>323</v>
      </c>
      <c r="B326" s="9" t="s">
        <v>55</v>
      </c>
      <c r="C326" s="10" t="str">
        <f aca="false">VLOOKUP($B326,DM_NHAN_VIEN!$B$4:$F$18,2,FALSE())</f>
        <v>Đặng Thị Hồng</v>
      </c>
      <c r="D326" s="9" t="str">
        <f aca="false">VLOOKUP($B326,DM_NHAN_VIEN!$B$4:$F$18,3,FALSE())</f>
        <v>Nhân sự</v>
      </c>
      <c r="E326" s="9" t="str">
        <f aca="false">VLOOKUP($B326,DM_NHAN_VIEN!$B$4:$F$18,4,FALSE())</f>
        <v>Chuyên viên</v>
      </c>
      <c r="F326" s="18" t="n">
        <v>46198</v>
      </c>
      <c r="G326" s="9" t="str">
        <f aca="false">CHOOSE(WEEKDAY(F326,2),"Thứ Hai","Thứ Ba","Thứ Tư","Thứ Năm","Thứ Sáu","Thứ Bảy","Chủ Nhật")</f>
        <v>Thứ Năm</v>
      </c>
      <c r="H326" s="9" t="str">
        <f aca="false">VLOOKUP($B326,DM_NHAN_VIEN!$B$4:$F$18,5,FALSE())</f>
        <v>Ca Hành Chính</v>
      </c>
      <c r="I326" s="9" t="str">
        <f aca="false">VLOOKUP($H326,DM_CA_LAM!$A$4:$C$6,2,FALSE())</f>
        <v>07:30</v>
      </c>
      <c r="J326" s="9" t="str">
        <f aca="false">VLOOKUP($H326,DM_CA_LAM!$A$4:$C$6,3,FALSE())</f>
        <v>17:30</v>
      </c>
      <c r="K326" s="9" t="s">
        <v>167</v>
      </c>
      <c r="L326" s="9" t="s">
        <v>162</v>
      </c>
      <c r="M326" s="9" t="n">
        <f aca="false">IF($K326="","",MAX(0,ROUND((TIMEVALUE($K326)-TIMEVALUE($I326))*1440,0)))</f>
        <v>0</v>
      </c>
      <c r="N326" s="9" t="n">
        <f aca="false">IF($L326="","",MAX(0,ROUND((TIMEVALUE($J326)-TIMEVALUE($L326))*1440,0)))</f>
        <v>0</v>
      </c>
      <c r="O326" s="9" t="n">
        <f aca="false">IF(OR($K326="",$L326=""),0,ROUND(VLOOKUP($H326,DM_CA_LAM!$A$4:$F$6,6,FALSE())-$M326/60-$N326/60,2))</f>
        <v>8</v>
      </c>
      <c r="P326" s="9" t="s">
        <v>108</v>
      </c>
      <c r="Q326" s="9" t="n">
        <v>0</v>
      </c>
      <c r="R326" s="10"/>
      <c r="S326" s="10"/>
      <c r="T326" s="9" t="str">
        <f aca="false">$B326&amp;"_"&amp;TEXT($F326,"yyyymmdd")</f>
        <v>NV010_20260625</v>
      </c>
      <c r="U326" s="9" t="str">
        <f aca="false">VLOOKUP($P326,DM_TRANG_THAI!$A$4:$B$9,2,FALSE())</f>
        <v>P</v>
      </c>
    </row>
    <row r="327" customFormat="false" ht="15.75" hidden="false" customHeight="true" outlineLevel="0" collapsed="false">
      <c r="A327" s="9" t="n">
        <v>324</v>
      </c>
      <c r="B327" s="9" t="s">
        <v>58</v>
      </c>
      <c r="C327" s="10" t="str">
        <f aca="false">VLOOKUP($B327,DM_NHAN_VIEN!$B$4:$F$18,2,FALSE())</f>
        <v>Chu Văn Minh</v>
      </c>
      <c r="D327" s="9" t="str">
        <f aca="false">VLOOKUP($B327,DM_NHAN_VIEN!$B$4:$F$18,3,FALSE())</f>
        <v>Nhân sự</v>
      </c>
      <c r="E327" s="9" t="str">
        <f aca="false">VLOOKUP($B327,DM_NHAN_VIEN!$B$4:$F$18,4,FALSE())</f>
        <v>Chuyên viên</v>
      </c>
      <c r="F327" s="18" t="n">
        <v>46198</v>
      </c>
      <c r="G327" s="9" t="str">
        <f aca="false">CHOOSE(WEEKDAY(F327,2),"Thứ Hai","Thứ Ba","Thứ Tư","Thứ Năm","Thứ Sáu","Thứ Bảy","Chủ Nhật")</f>
        <v>Thứ Năm</v>
      </c>
      <c r="H327" s="9" t="str">
        <f aca="false">VLOOKUP($B327,DM_NHAN_VIEN!$B$4:$F$18,5,FALSE())</f>
        <v>Ca Hành Chính</v>
      </c>
      <c r="I327" s="9" t="str">
        <f aca="false">VLOOKUP($H327,DM_CA_LAM!$A$4:$C$6,2,FALSE())</f>
        <v>07:30</v>
      </c>
      <c r="J327" s="9" t="str">
        <f aca="false">VLOOKUP($H327,DM_CA_LAM!$A$4:$C$6,3,FALSE())</f>
        <v>17:30</v>
      </c>
      <c r="K327" s="9" t="s">
        <v>92</v>
      </c>
      <c r="L327" s="9" t="s">
        <v>153</v>
      </c>
      <c r="M327" s="9" t="n">
        <f aca="false">IF($K327="","",MAX(0,ROUND((TIMEVALUE($K327)-TIMEVALUE($I327))*1440,0)))</f>
        <v>0</v>
      </c>
      <c r="N327" s="9" t="n">
        <f aca="false">IF($L327="","",MAX(0,ROUND((TIMEVALUE($J327)-TIMEVALUE($L327))*1440,0)))</f>
        <v>0</v>
      </c>
      <c r="O327" s="9" t="n">
        <f aca="false">IF(OR($K327="",$L327=""),0,ROUND(VLOOKUP($H327,DM_CA_LAM!$A$4:$F$6,6,FALSE())-$M327/60-$N327/60,2))</f>
        <v>8</v>
      </c>
      <c r="P327" s="9" t="s">
        <v>108</v>
      </c>
      <c r="Q327" s="9" t="n">
        <v>0</v>
      </c>
      <c r="R327" s="10"/>
      <c r="S327" s="10"/>
      <c r="T327" s="9" t="str">
        <f aca="false">$B327&amp;"_"&amp;TEXT($F327,"yyyymmdd")</f>
        <v>NV011_20260625</v>
      </c>
      <c r="U327" s="9" t="str">
        <f aca="false">VLOOKUP($P327,DM_TRANG_THAI!$A$4:$B$9,2,FALSE())</f>
        <v>P</v>
      </c>
    </row>
    <row r="328" customFormat="false" ht="15.75" hidden="false" customHeight="true" outlineLevel="0" collapsed="false">
      <c r="A328" s="9" t="n">
        <v>325</v>
      </c>
      <c r="B328" s="9" t="s">
        <v>61</v>
      </c>
      <c r="C328" s="10" t="str">
        <f aca="false">VLOOKUP($B328,DM_NHAN_VIEN!$B$4:$F$18,2,FALSE())</f>
        <v>Phan Thị Khánh</v>
      </c>
      <c r="D328" s="9" t="str">
        <f aca="false">VLOOKUP($B328,DM_NHAN_VIEN!$B$4:$F$18,3,FALSE())</f>
        <v>Kế toán</v>
      </c>
      <c r="E328" s="9" t="str">
        <f aca="false">VLOOKUP($B328,DM_NHAN_VIEN!$B$4:$F$18,4,FALSE())</f>
        <v>Trưởng phòng</v>
      </c>
      <c r="F328" s="18" t="n">
        <v>46198</v>
      </c>
      <c r="G328" s="9" t="str">
        <f aca="false">CHOOSE(WEEKDAY(F328,2),"Thứ Hai","Thứ Ba","Thứ Tư","Thứ Năm","Thứ Sáu","Thứ Bảy","Chủ Nhật")</f>
        <v>Thứ Năm</v>
      </c>
      <c r="H328" s="9" t="str">
        <f aca="false">VLOOKUP($B328,DM_NHAN_VIEN!$B$4:$F$18,5,FALSE())</f>
        <v>Ca Hành Chính</v>
      </c>
      <c r="I328" s="9" t="str">
        <f aca="false">VLOOKUP($H328,DM_CA_LAM!$A$4:$C$6,2,FALSE())</f>
        <v>07:30</v>
      </c>
      <c r="J328" s="9" t="str">
        <f aca="false">VLOOKUP($H328,DM_CA_LAM!$A$4:$C$6,3,FALSE())</f>
        <v>17:30</v>
      </c>
      <c r="K328" s="9" t="s">
        <v>160</v>
      </c>
      <c r="L328" s="9" t="s">
        <v>159</v>
      </c>
      <c r="M328" s="9" t="n">
        <f aca="false">IF($K328="","",MAX(0,ROUND((TIMEVALUE($K328)-TIMEVALUE($I328))*1440,0)))</f>
        <v>0</v>
      </c>
      <c r="N328" s="9" t="n">
        <f aca="false">IF($L328="","",MAX(0,ROUND((TIMEVALUE($J328)-TIMEVALUE($L328))*1440,0)))</f>
        <v>0</v>
      </c>
      <c r="O328" s="9" t="n">
        <f aca="false">IF(OR($K328="",$L328=""),0,ROUND(VLOOKUP($H328,DM_CA_LAM!$A$4:$F$6,6,FALSE())-$M328/60-$N328/60,2))</f>
        <v>8</v>
      </c>
      <c r="P328" s="9" t="s">
        <v>108</v>
      </c>
      <c r="Q328" s="9" t="n">
        <v>0</v>
      </c>
      <c r="R328" s="10"/>
      <c r="S328" s="10"/>
      <c r="T328" s="9" t="str">
        <f aca="false">$B328&amp;"_"&amp;TEXT($F328,"yyyymmdd")</f>
        <v>NV014_20260625</v>
      </c>
      <c r="U328" s="9" t="str">
        <f aca="false">VLOOKUP($P328,DM_TRANG_THAI!$A$4:$B$9,2,FALSE())</f>
        <v>P</v>
      </c>
    </row>
    <row r="329" customFormat="false" ht="15.75" hidden="false" customHeight="true" outlineLevel="0" collapsed="false">
      <c r="A329" s="9" t="n">
        <v>326</v>
      </c>
      <c r="B329" s="9" t="s">
        <v>65</v>
      </c>
      <c r="C329" s="10" t="str">
        <f aca="false">VLOOKUP($B329,DM_NHAN_VIEN!$B$4:$F$18,2,FALSE())</f>
        <v>Trịnh Văn Hùng</v>
      </c>
      <c r="D329" s="9" t="str">
        <f aca="false">VLOOKUP($B329,DM_NHAN_VIEN!$B$4:$F$18,3,FALSE())</f>
        <v>Kế toán</v>
      </c>
      <c r="E329" s="9" t="str">
        <f aca="false">VLOOKUP($B329,DM_NHAN_VIEN!$B$4:$F$18,4,FALSE())</f>
        <v>Phó phòng</v>
      </c>
      <c r="F329" s="18" t="n">
        <v>46198</v>
      </c>
      <c r="G329" s="9" t="str">
        <f aca="false">CHOOSE(WEEKDAY(F329,2),"Thứ Hai","Thứ Ba","Thứ Tư","Thứ Năm","Thứ Sáu","Thứ Bảy","Chủ Nhật")</f>
        <v>Thứ Năm</v>
      </c>
      <c r="H329" s="9" t="str">
        <f aca="false">VLOOKUP($B329,DM_NHAN_VIEN!$B$4:$F$18,5,FALSE())</f>
        <v>Ca Hành Chính</v>
      </c>
      <c r="I329" s="9" t="str">
        <f aca="false">VLOOKUP($H329,DM_CA_LAM!$A$4:$C$6,2,FALSE())</f>
        <v>07:30</v>
      </c>
      <c r="J329" s="9" t="str">
        <f aca="false">VLOOKUP($H329,DM_CA_LAM!$A$4:$C$6,3,FALSE())</f>
        <v>17:30</v>
      </c>
      <c r="K329" s="9" t="s">
        <v>150</v>
      </c>
      <c r="L329" s="9" t="s">
        <v>93</v>
      </c>
      <c r="M329" s="9" t="n">
        <f aca="false">IF($K329="","",MAX(0,ROUND((TIMEVALUE($K329)-TIMEVALUE($I329))*1440,0)))</f>
        <v>0</v>
      </c>
      <c r="N329" s="9" t="n">
        <f aca="false">IF($L329="","",MAX(0,ROUND((TIMEVALUE($J329)-TIMEVALUE($L329))*1440,0)))</f>
        <v>0</v>
      </c>
      <c r="O329" s="9" t="n">
        <f aca="false">IF(OR($K329="",$L329=""),0,ROUND(VLOOKUP($H329,DM_CA_LAM!$A$4:$F$6,6,FALSE())-$M329/60-$N329/60,2))</f>
        <v>8</v>
      </c>
      <c r="P329" s="9" t="s">
        <v>108</v>
      </c>
      <c r="Q329" s="9" t="n">
        <v>0</v>
      </c>
      <c r="R329" s="10"/>
      <c r="S329" s="10"/>
      <c r="T329" s="9" t="str">
        <f aca="false">$B329&amp;"_"&amp;TEXT($F329,"yyyymmdd")</f>
        <v>NV015_20260625</v>
      </c>
      <c r="U329" s="9" t="str">
        <f aca="false">VLOOKUP($P329,DM_TRANG_THAI!$A$4:$B$9,2,FALSE())</f>
        <v>P</v>
      </c>
    </row>
    <row r="330" customFormat="false" ht="15.75" hidden="false" customHeight="true" outlineLevel="0" collapsed="false">
      <c r="A330" s="9" t="n">
        <v>327</v>
      </c>
      <c r="B330" s="9" t="s">
        <v>68</v>
      </c>
      <c r="C330" s="10" t="str">
        <f aca="false">VLOOKUP($B330,DM_NHAN_VIEN!$B$4:$F$18,2,FALSE())</f>
        <v>Hoàng Văn Lộc</v>
      </c>
      <c r="D330" s="9" t="str">
        <f aca="false">VLOOKUP($B330,DM_NHAN_VIEN!$B$4:$F$18,3,FALSE())</f>
        <v>Kinh doanh</v>
      </c>
      <c r="E330" s="9" t="str">
        <f aca="false">VLOOKUP($B330,DM_NHAN_VIEN!$B$4:$F$18,4,FALSE())</f>
        <v>Trưởng phòng</v>
      </c>
      <c r="F330" s="18" t="n">
        <v>46198</v>
      </c>
      <c r="G330" s="9" t="str">
        <f aca="false">CHOOSE(WEEKDAY(F330,2),"Thứ Hai","Thứ Ba","Thứ Tư","Thứ Năm","Thứ Sáu","Thứ Bảy","Chủ Nhật")</f>
        <v>Thứ Năm</v>
      </c>
      <c r="H330" s="9" t="str">
        <f aca="false">VLOOKUP($B330,DM_NHAN_VIEN!$B$4:$F$18,5,FALSE())</f>
        <v>Ca Hành Chính</v>
      </c>
      <c r="I330" s="9" t="str">
        <f aca="false">VLOOKUP($H330,DM_CA_LAM!$A$4:$C$6,2,FALSE())</f>
        <v>07:30</v>
      </c>
      <c r="J330" s="9" t="str">
        <f aca="false">VLOOKUP($H330,DM_CA_LAM!$A$4:$C$6,3,FALSE())</f>
        <v>17:30</v>
      </c>
      <c r="K330" s="9" t="s">
        <v>189</v>
      </c>
      <c r="L330" s="9" t="s">
        <v>159</v>
      </c>
      <c r="M330" s="9" t="n">
        <f aca="false">IF($K330="","",MAX(0,ROUND((TIMEVALUE($K330)-TIMEVALUE($I330))*1440,0)))</f>
        <v>29</v>
      </c>
      <c r="N330" s="9" t="n">
        <f aca="false">IF($L330="","",MAX(0,ROUND((TIMEVALUE($J330)-TIMEVALUE($L330))*1440,0)))</f>
        <v>0</v>
      </c>
      <c r="O330" s="9" t="n">
        <f aca="false">IF(OR($K330="",$L330=""),0,ROUND(VLOOKUP($H330,DM_CA_LAM!$A$4:$F$6,6,FALSE())-$M330/60-$N330/60,2))</f>
        <v>7.52</v>
      </c>
      <c r="P330" s="9" t="s">
        <v>111</v>
      </c>
      <c r="Q330" s="9" t="n">
        <v>0</v>
      </c>
      <c r="R330" s="10"/>
      <c r="S330" s="10" t="s">
        <v>154</v>
      </c>
      <c r="T330" s="9" t="str">
        <f aca="false">$B330&amp;"_"&amp;TEXT($F330,"yyyymmdd")</f>
        <v>NV019_20260625</v>
      </c>
      <c r="U330" s="9" t="str">
        <f aca="false">VLOOKUP($P330,DM_TRANG_THAI!$A$4:$B$9,2,FALSE())</f>
        <v>L</v>
      </c>
    </row>
    <row r="331" customFormat="false" ht="15.75" hidden="false" customHeight="true" outlineLevel="0" collapsed="false">
      <c r="A331" s="9" t="n">
        <v>328</v>
      </c>
      <c r="B331" s="9" t="s">
        <v>72</v>
      </c>
      <c r="C331" s="10" t="str">
        <f aca="false">VLOOKUP($B331,DM_NHAN_VIEN!$B$4:$F$18,2,FALSE())</f>
        <v>Nguyễn Văn Phú</v>
      </c>
      <c r="D331" s="9" t="str">
        <f aca="false">VLOOKUP($B331,DM_NHAN_VIEN!$B$4:$F$18,3,FALSE())</f>
        <v>Kinh doanh</v>
      </c>
      <c r="E331" s="9" t="str">
        <f aca="false">VLOOKUP($B331,DM_NHAN_VIEN!$B$4:$F$18,4,FALSE())</f>
        <v>Nhân viên</v>
      </c>
      <c r="F331" s="18" t="n">
        <v>46198</v>
      </c>
      <c r="G331" s="9" t="str">
        <f aca="false">CHOOSE(WEEKDAY(F331,2),"Thứ Hai","Thứ Ba","Thứ Tư","Thứ Năm","Thứ Sáu","Thứ Bảy","Chủ Nhật")</f>
        <v>Thứ Năm</v>
      </c>
      <c r="H331" s="9" t="str">
        <f aca="false">VLOOKUP($B331,DM_NHAN_VIEN!$B$4:$F$18,5,FALSE())</f>
        <v>Ca Hành Chính</v>
      </c>
      <c r="I331" s="9" t="str">
        <f aca="false">VLOOKUP($H331,DM_CA_LAM!$A$4:$C$6,2,FALSE())</f>
        <v>07:30</v>
      </c>
      <c r="J331" s="9" t="str">
        <f aca="false">VLOOKUP($H331,DM_CA_LAM!$A$4:$C$6,3,FALSE())</f>
        <v>17:30</v>
      </c>
      <c r="K331" s="9" t="s">
        <v>167</v>
      </c>
      <c r="L331" s="9" t="s">
        <v>170</v>
      </c>
      <c r="M331" s="9" t="n">
        <f aca="false">IF($K331="","",MAX(0,ROUND((TIMEVALUE($K331)-TIMEVALUE($I331))*1440,0)))</f>
        <v>0</v>
      </c>
      <c r="N331" s="9" t="n">
        <f aca="false">IF($L331="","",MAX(0,ROUND((TIMEVALUE($J331)-TIMEVALUE($L331))*1440,0)))</f>
        <v>0</v>
      </c>
      <c r="O331" s="9" t="n">
        <f aca="false">IF(OR($K331="",$L331=""),0,ROUND(VLOOKUP($H331,DM_CA_LAM!$A$4:$F$6,6,FALSE())-$M331/60-$N331/60,2))</f>
        <v>8</v>
      </c>
      <c r="P331" s="9" t="s">
        <v>108</v>
      </c>
      <c r="Q331" s="9" t="n">
        <v>0</v>
      </c>
      <c r="R331" s="10"/>
      <c r="S331" s="10"/>
      <c r="T331" s="9" t="str">
        <f aca="false">$B331&amp;"_"&amp;TEXT($F331,"yyyymmdd")</f>
        <v>NV021_20260625</v>
      </c>
      <c r="U331" s="9" t="str">
        <f aca="false">VLOOKUP($P331,DM_TRANG_THAI!$A$4:$B$9,2,FALSE())</f>
        <v>P</v>
      </c>
    </row>
    <row r="332" customFormat="false" ht="15.75" hidden="false" customHeight="true" outlineLevel="0" collapsed="false">
      <c r="A332" s="9" t="n">
        <v>329</v>
      </c>
      <c r="B332" s="9" t="s">
        <v>76</v>
      </c>
      <c r="C332" s="10" t="str">
        <f aca="false">VLOOKUP($B332,DM_NHAN_VIEN!$B$4:$F$18,2,FALSE())</f>
        <v>Lý Văn Dũng</v>
      </c>
      <c r="D332" s="9" t="str">
        <f aca="false">VLOOKUP($B332,DM_NHAN_VIEN!$B$4:$F$18,3,FALSE())</f>
        <v>Xưởng sản xuất</v>
      </c>
      <c r="E332" s="9" t="str">
        <f aca="false">VLOOKUP($B332,DM_NHAN_VIEN!$B$4:$F$18,4,FALSE())</f>
        <v>Tổ trưởng</v>
      </c>
      <c r="F332" s="18" t="n">
        <v>46198</v>
      </c>
      <c r="G332" s="9" t="str">
        <f aca="false">CHOOSE(WEEKDAY(F332,2),"Thứ Hai","Thứ Ba","Thứ Tư","Thứ Năm","Thứ Sáu","Thứ Bảy","Chủ Nhật")</f>
        <v>Thứ Năm</v>
      </c>
      <c r="H332" s="9" t="str">
        <f aca="false">VLOOKUP($B332,DM_NHAN_VIEN!$B$4:$F$18,5,FALSE())</f>
        <v>Ca Hành Chính</v>
      </c>
      <c r="I332" s="9" t="str">
        <f aca="false">VLOOKUP($H332,DM_CA_LAM!$A$4:$C$6,2,FALSE())</f>
        <v>07:30</v>
      </c>
      <c r="J332" s="9" t="str">
        <f aca="false">VLOOKUP($H332,DM_CA_LAM!$A$4:$C$6,3,FALSE())</f>
        <v>17:30</v>
      </c>
      <c r="K332" s="9" t="s">
        <v>158</v>
      </c>
      <c r="L332" s="9" t="s">
        <v>166</v>
      </c>
      <c r="M332" s="9" t="n">
        <f aca="false">IF($K332="","",MAX(0,ROUND((TIMEVALUE($K332)-TIMEVALUE($I332))*1440,0)))</f>
        <v>0</v>
      </c>
      <c r="N332" s="9" t="n">
        <f aca="false">IF($L332="","",MAX(0,ROUND((TIMEVALUE($J332)-TIMEVALUE($L332))*1440,0)))</f>
        <v>0</v>
      </c>
      <c r="O332" s="9" t="n">
        <f aca="false">IF(OR($K332="",$L332=""),0,ROUND(VLOOKUP($H332,DM_CA_LAM!$A$4:$F$6,6,FALSE())-$M332/60-$N332/60,2))</f>
        <v>8</v>
      </c>
      <c r="P332" s="9" t="s">
        <v>108</v>
      </c>
      <c r="Q332" s="9" t="n">
        <v>0</v>
      </c>
      <c r="R332" s="10"/>
      <c r="S332" s="10"/>
      <c r="T332" s="9" t="str">
        <f aca="false">$B332&amp;"_"&amp;TEXT($F332,"yyyymmdd")</f>
        <v>NV029_20260625</v>
      </c>
      <c r="U332" s="9" t="str">
        <f aca="false">VLOOKUP($P332,DM_TRANG_THAI!$A$4:$B$9,2,FALSE())</f>
        <v>P</v>
      </c>
    </row>
    <row r="333" customFormat="false" ht="15.75" hidden="false" customHeight="true" outlineLevel="0" collapsed="false">
      <c r="A333" s="9" t="n">
        <v>330</v>
      </c>
      <c r="B333" s="9" t="s">
        <v>80</v>
      </c>
      <c r="C333" s="10" t="str">
        <f aca="false">VLOOKUP($B333,DM_NHAN_VIEN!$B$4:$F$18,2,FALSE())</f>
        <v>Tống Văn Thắng</v>
      </c>
      <c r="D333" s="9" t="str">
        <f aca="false">VLOOKUP($B333,DM_NHAN_VIEN!$B$4:$F$18,3,FALSE())</f>
        <v>Xưởng sản xuất</v>
      </c>
      <c r="E333" s="9" t="str">
        <f aca="false">VLOOKUP($B333,DM_NHAN_VIEN!$B$4:$F$18,4,FALSE())</f>
        <v>Tổ trưởng</v>
      </c>
      <c r="F333" s="18" t="n">
        <v>46198</v>
      </c>
      <c r="G333" s="9" t="str">
        <f aca="false">CHOOSE(WEEKDAY(F333,2),"Thứ Hai","Thứ Ba","Thứ Tư","Thứ Năm","Thứ Sáu","Thứ Bảy","Chủ Nhật")</f>
        <v>Thứ Năm</v>
      </c>
      <c r="H333" s="9" t="str">
        <f aca="false">VLOOKUP($B333,DM_NHAN_VIEN!$B$4:$F$18,5,FALSE())</f>
        <v>Ca Hành Chính</v>
      </c>
      <c r="I333" s="9" t="str">
        <f aca="false">VLOOKUP($H333,DM_CA_LAM!$A$4:$C$6,2,FALSE())</f>
        <v>07:30</v>
      </c>
      <c r="J333" s="9" t="str">
        <f aca="false">VLOOKUP($H333,DM_CA_LAM!$A$4:$C$6,3,FALSE())</f>
        <v>17:30</v>
      </c>
      <c r="K333" s="9" t="s">
        <v>92</v>
      </c>
      <c r="L333" s="9" t="s">
        <v>157</v>
      </c>
      <c r="M333" s="9" t="n">
        <f aca="false">IF($K333="","",MAX(0,ROUND((TIMEVALUE($K333)-TIMEVALUE($I333))*1440,0)))</f>
        <v>0</v>
      </c>
      <c r="N333" s="9" t="n">
        <f aca="false">IF($L333="","",MAX(0,ROUND((TIMEVALUE($J333)-TIMEVALUE($L333))*1440,0)))</f>
        <v>0</v>
      </c>
      <c r="O333" s="9" t="n">
        <f aca="false">IF(OR($K333="",$L333=""),0,ROUND(VLOOKUP($H333,DM_CA_LAM!$A$4:$F$6,6,FALSE())-$M333/60-$N333/60,2))</f>
        <v>8</v>
      </c>
      <c r="P333" s="9" t="s">
        <v>108</v>
      </c>
      <c r="Q333" s="9" t="n">
        <v>0</v>
      </c>
      <c r="R333" s="10"/>
      <c r="S333" s="10"/>
      <c r="T333" s="9" t="str">
        <f aca="false">$B333&amp;"_"&amp;TEXT($F333,"yyyymmdd")</f>
        <v>NV030_20260625</v>
      </c>
      <c r="U333" s="9" t="str">
        <f aca="false">VLOOKUP($P333,DM_TRANG_THAI!$A$4:$B$9,2,FALSE())</f>
        <v>P</v>
      </c>
    </row>
    <row r="334" customFormat="false" ht="15.75" hidden="false" customHeight="true" outlineLevel="0" collapsed="false">
      <c r="A334" s="9" t="n">
        <v>331</v>
      </c>
      <c r="B334" s="9" t="s">
        <v>24</v>
      </c>
      <c r="C334" s="10" t="str">
        <f aca="false">VLOOKUP($B334,DM_NHAN_VIEN!$B$4:$F$18,2,FALSE())</f>
        <v>Nguyễn Văn Giám Đốc</v>
      </c>
      <c r="D334" s="9" t="str">
        <f aca="false">VLOOKUP($B334,DM_NHAN_VIEN!$B$4:$F$18,3,FALSE())</f>
        <v>Hành chính</v>
      </c>
      <c r="E334" s="9" t="str">
        <f aca="false">VLOOKUP($B334,DM_NHAN_VIEN!$B$4:$F$18,4,FALSE())</f>
        <v>Giám đốc</v>
      </c>
      <c r="F334" s="18" t="n">
        <v>46199</v>
      </c>
      <c r="G334" s="9" t="str">
        <f aca="false">CHOOSE(WEEKDAY(F334,2),"Thứ Hai","Thứ Ba","Thứ Tư","Thứ Năm","Thứ Sáu","Thứ Bảy","Chủ Nhật")</f>
        <v>Thứ Sáu</v>
      </c>
      <c r="H334" s="9" t="str">
        <f aca="false">VLOOKUP($B334,DM_NHAN_VIEN!$B$4:$F$18,5,FALSE())</f>
        <v>Ca Hành Chính</v>
      </c>
      <c r="I334" s="9" t="str">
        <f aca="false">VLOOKUP($H334,DM_CA_LAM!$A$4:$C$6,2,FALSE())</f>
        <v>07:30</v>
      </c>
      <c r="J334" s="9" t="str">
        <f aca="false">VLOOKUP($H334,DM_CA_LAM!$A$4:$C$6,3,FALSE())</f>
        <v>17:30</v>
      </c>
      <c r="K334" s="9"/>
      <c r="L334" s="9"/>
      <c r="M334" s="9" t="str">
        <f aca="false">IF($K334="","",MAX(0,ROUND((TIMEVALUE($K334)-TIMEVALUE($I334))*1440,0)))</f>
        <v/>
      </c>
      <c r="N334" s="9" t="str">
        <f aca="false">IF($L334="","",MAX(0,ROUND((TIMEVALUE($J334)-TIMEVALUE($L334))*1440,0)))</f>
        <v/>
      </c>
      <c r="O334" s="9" t="n">
        <f aca="false">IF(OR($K334="",$L334=""),0,ROUND(VLOOKUP($H334,DM_CA_LAM!$A$4:$F$6,6,FALSE())-$M334/60-$N334/60,2))</f>
        <v>0</v>
      </c>
      <c r="P334" s="9" t="s">
        <v>114</v>
      </c>
      <c r="Q334" s="9" t="n">
        <v>0</v>
      </c>
      <c r="R334" s="10"/>
      <c r="S334" s="10" t="s">
        <v>185</v>
      </c>
      <c r="T334" s="9" t="str">
        <f aca="false">$B334&amp;"_"&amp;TEXT($F334,"yyyymmdd")</f>
        <v>NV002_20260626</v>
      </c>
      <c r="U334" s="9" t="str">
        <f aca="false">VLOOKUP($P334,DM_TRANG_THAI!$A$4:$B$9,2,FALSE())</f>
        <v>A</v>
      </c>
    </row>
    <row r="335" customFormat="false" ht="15.75" hidden="false" customHeight="true" outlineLevel="0" collapsed="false">
      <c r="A335" s="9" t="n">
        <v>332</v>
      </c>
      <c r="B335" s="9" t="s">
        <v>30</v>
      </c>
      <c r="C335" s="10" t="str">
        <f aca="false">VLOOKUP($B335,DM_NHAN_VIEN!$B$4:$F$18,2,FALSE())</f>
        <v>Trần Thị Nhân Sự</v>
      </c>
      <c r="D335" s="9" t="str">
        <f aca="false">VLOOKUP($B335,DM_NHAN_VIEN!$B$4:$F$18,3,FALSE())</f>
        <v>Nhân sự</v>
      </c>
      <c r="E335" s="9" t="str">
        <f aca="false">VLOOKUP($B335,DM_NHAN_VIEN!$B$4:$F$18,4,FALSE())</f>
        <v>Trưởng phòng</v>
      </c>
      <c r="F335" s="18" t="n">
        <v>46199</v>
      </c>
      <c r="G335" s="9" t="str">
        <f aca="false">CHOOSE(WEEKDAY(F335,2),"Thứ Hai","Thứ Ba","Thứ Tư","Thứ Năm","Thứ Sáu","Thứ Bảy","Chủ Nhật")</f>
        <v>Thứ Sáu</v>
      </c>
      <c r="H335" s="9" t="str">
        <f aca="false">VLOOKUP($B335,DM_NHAN_VIEN!$B$4:$F$18,5,FALSE())</f>
        <v>Ca Hành Chính</v>
      </c>
      <c r="I335" s="9" t="str">
        <f aca="false">VLOOKUP($H335,DM_CA_LAM!$A$4:$C$6,2,FALSE())</f>
        <v>07:30</v>
      </c>
      <c r="J335" s="9" t="str">
        <f aca="false">VLOOKUP($H335,DM_CA_LAM!$A$4:$C$6,3,FALSE())</f>
        <v>17:30</v>
      </c>
      <c r="K335" s="9" t="s">
        <v>150</v>
      </c>
      <c r="L335" s="9" t="s">
        <v>165</v>
      </c>
      <c r="M335" s="9" t="n">
        <f aca="false">IF($K335="","",MAX(0,ROUND((TIMEVALUE($K335)-TIMEVALUE($I335))*1440,0)))</f>
        <v>0</v>
      </c>
      <c r="N335" s="9" t="n">
        <f aca="false">IF($L335="","",MAX(0,ROUND((TIMEVALUE($J335)-TIMEVALUE($L335))*1440,0)))</f>
        <v>0</v>
      </c>
      <c r="O335" s="9" t="n">
        <f aca="false">IF(OR($K335="",$L335=""),0,ROUND(VLOOKUP($H335,DM_CA_LAM!$A$4:$F$6,6,FALSE())-$M335/60-$N335/60,2))</f>
        <v>8</v>
      </c>
      <c r="P335" s="9" t="s">
        <v>108</v>
      </c>
      <c r="Q335" s="9" t="n">
        <v>0</v>
      </c>
      <c r="R335" s="10"/>
      <c r="S335" s="10"/>
      <c r="T335" s="9" t="str">
        <f aca="false">$B335&amp;"_"&amp;TEXT($F335,"yyyymmdd")</f>
        <v>NV003_20260626</v>
      </c>
      <c r="U335" s="9" t="str">
        <f aca="false">VLOOKUP($P335,DM_TRANG_THAI!$A$4:$B$9,2,FALSE())</f>
        <v>P</v>
      </c>
    </row>
    <row r="336" customFormat="false" ht="15.75" hidden="false" customHeight="true" outlineLevel="0" collapsed="false">
      <c r="A336" s="9" t="n">
        <v>333</v>
      </c>
      <c r="B336" s="9" t="s">
        <v>35</v>
      </c>
      <c r="C336" s="10" t="str">
        <f aca="false">VLOOKUP($B336,DM_NHAN_VIEN!$B$4:$F$18,2,FALSE())</f>
        <v>Lê Văn Quản Đốc</v>
      </c>
      <c r="D336" s="9" t="str">
        <f aca="false">VLOOKUP($B336,DM_NHAN_VIEN!$B$4:$F$18,3,FALSE())</f>
        <v>Xưởng sản xuất</v>
      </c>
      <c r="E336" s="9" t="str">
        <f aca="false">VLOOKUP($B336,DM_NHAN_VIEN!$B$4:$F$18,4,FALSE())</f>
        <v>Quản đốc</v>
      </c>
      <c r="F336" s="18" t="n">
        <v>46199</v>
      </c>
      <c r="G336" s="9" t="str">
        <f aca="false">CHOOSE(WEEKDAY(F336,2),"Thứ Hai","Thứ Ba","Thứ Tư","Thứ Năm","Thứ Sáu","Thứ Bảy","Chủ Nhật")</f>
        <v>Thứ Sáu</v>
      </c>
      <c r="H336" s="9" t="str">
        <f aca="false">VLOOKUP($B336,DM_NHAN_VIEN!$B$4:$F$18,5,FALSE())</f>
        <v>Ca Hành Chính</v>
      </c>
      <c r="I336" s="9" t="str">
        <f aca="false">VLOOKUP($H336,DM_CA_LAM!$A$4:$C$6,2,FALSE())</f>
        <v>07:30</v>
      </c>
      <c r="J336" s="9" t="str">
        <f aca="false">VLOOKUP($H336,DM_CA_LAM!$A$4:$C$6,3,FALSE())</f>
        <v>17:30</v>
      </c>
      <c r="K336" s="9"/>
      <c r="L336" s="9"/>
      <c r="M336" s="9" t="str">
        <f aca="false">IF($K336="","",MAX(0,ROUND((TIMEVALUE($K336)-TIMEVALUE($I336))*1440,0)))</f>
        <v/>
      </c>
      <c r="N336" s="9" t="str">
        <f aca="false">IF($L336="","",MAX(0,ROUND((TIMEVALUE($J336)-TIMEVALUE($L336))*1440,0)))</f>
        <v/>
      </c>
      <c r="O336" s="9" t="n">
        <f aca="false">IF(OR($K336="",$L336=""),0,ROUND(VLOOKUP($H336,DM_CA_LAM!$A$4:$F$6,6,FALSE())-$M336/60-$N336/60,2))</f>
        <v>0</v>
      </c>
      <c r="P336" s="9" t="s">
        <v>114</v>
      </c>
      <c r="Q336" s="9" t="n">
        <v>0</v>
      </c>
      <c r="R336" s="10"/>
      <c r="S336" s="10" t="s">
        <v>178</v>
      </c>
      <c r="T336" s="9" t="str">
        <f aca="false">$B336&amp;"_"&amp;TEXT($F336,"yyyymmdd")</f>
        <v>NV004_20260626</v>
      </c>
      <c r="U336" s="9" t="str">
        <f aca="false">VLOOKUP($P336,DM_TRANG_THAI!$A$4:$B$9,2,FALSE())</f>
        <v>A</v>
      </c>
    </row>
    <row r="337" customFormat="false" ht="15.75" hidden="false" customHeight="true" outlineLevel="0" collapsed="false">
      <c r="A337" s="9" t="n">
        <v>334</v>
      </c>
      <c r="B337" s="9" t="s">
        <v>40</v>
      </c>
      <c r="C337" s="10" t="str">
        <f aca="false">VLOOKUP($B337,DM_NHAN_VIEN!$B$4:$F$18,2,FALSE())</f>
        <v>Phạm Công Nhân</v>
      </c>
      <c r="D337" s="9" t="str">
        <f aca="false">VLOOKUP($B337,DM_NHAN_VIEN!$B$4:$F$18,3,FALSE())</f>
        <v>Xưởng sản xuất</v>
      </c>
      <c r="E337" s="9" t="str">
        <f aca="false">VLOOKUP($B337,DM_NHAN_VIEN!$B$4:$F$18,4,FALSE())</f>
        <v>Công nhân</v>
      </c>
      <c r="F337" s="18" t="n">
        <v>46199</v>
      </c>
      <c r="G337" s="9" t="str">
        <f aca="false">CHOOSE(WEEKDAY(F337,2),"Thứ Hai","Thứ Ba","Thứ Tư","Thứ Năm","Thứ Sáu","Thứ Bảy","Chủ Nhật")</f>
        <v>Thứ Sáu</v>
      </c>
      <c r="H337" s="9" t="str">
        <f aca="false">VLOOKUP($B337,DM_NHAN_VIEN!$B$4:$F$18,5,FALSE())</f>
        <v>Ca Hành Chính</v>
      </c>
      <c r="I337" s="9" t="str">
        <f aca="false">VLOOKUP($H337,DM_CA_LAM!$A$4:$C$6,2,FALSE())</f>
        <v>07:30</v>
      </c>
      <c r="J337" s="9" t="str">
        <f aca="false">VLOOKUP($H337,DM_CA_LAM!$A$4:$C$6,3,FALSE())</f>
        <v>17:30</v>
      </c>
      <c r="K337" s="9"/>
      <c r="L337" s="9"/>
      <c r="M337" s="9" t="str">
        <f aca="false">IF($K337="","",MAX(0,ROUND((TIMEVALUE($K337)-TIMEVALUE($I337))*1440,0)))</f>
        <v/>
      </c>
      <c r="N337" s="9" t="str">
        <f aca="false">IF($L337="","",MAX(0,ROUND((TIMEVALUE($J337)-TIMEVALUE($L337))*1440,0)))</f>
        <v/>
      </c>
      <c r="O337" s="9" t="n">
        <f aca="false">IF(OR($K337="",$L337=""),0,ROUND(VLOOKUP($H337,DM_CA_LAM!$A$4:$F$6,6,FALSE())-$M337/60-$N337/60,2))</f>
        <v>0</v>
      </c>
      <c r="P337" s="9" t="s">
        <v>120</v>
      </c>
      <c r="Q337" s="9" t="n">
        <v>0</v>
      </c>
      <c r="R337" s="10"/>
      <c r="S337" s="10"/>
      <c r="T337" s="9" t="str">
        <f aca="false">$B337&amp;"_"&amp;TEXT($F337,"yyyymmdd")</f>
        <v>NV005_20260626</v>
      </c>
      <c r="U337" s="9" t="str">
        <f aca="false">VLOOKUP($P337,DM_TRANG_THAI!$A$4:$B$9,2,FALSE())</f>
        <v>KL</v>
      </c>
    </row>
    <row r="338" customFormat="false" ht="15.75" hidden="false" customHeight="true" outlineLevel="0" collapsed="false">
      <c r="A338" s="9" t="n">
        <v>335</v>
      </c>
      <c r="B338" s="9" t="s">
        <v>44</v>
      </c>
      <c r="C338" s="10" t="str">
        <f aca="false">VLOOKUP($B338,DM_NHAN_VIEN!$B$4:$F$18,2,FALSE())</f>
        <v>Đỗ Thị Hà</v>
      </c>
      <c r="D338" s="9" t="str">
        <f aca="false">VLOOKUP($B338,DM_NHAN_VIEN!$B$4:$F$18,3,FALSE())</f>
        <v>Hành chính</v>
      </c>
      <c r="E338" s="9" t="str">
        <f aca="false">VLOOKUP($B338,DM_NHAN_VIEN!$B$4:$F$18,4,FALSE())</f>
        <v>Trưởng phòng</v>
      </c>
      <c r="F338" s="18" t="n">
        <v>46199</v>
      </c>
      <c r="G338" s="9" t="str">
        <f aca="false">CHOOSE(WEEKDAY(F338,2),"Thứ Hai","Thứ Ba","Thứ Tư","Thứ Năm","Thứ Sáu","Thứ Bảy","Chủ Nhật")</f>
        <v>Thứ Sáu</v>
      </c>
      <c r="H338" s="9" t="str">
        <f aca="false">VLOOKUP($B338,DM_NHAN_VIEN!$B$4:$F$18,5,FALSE())</f>
        <v>Ca Hành Chính</v>
      </c>
      <c r="I338" s="9" t="str">
        <f aca="false">VLOOKUP($H338,DM_CA_LAM!$A$4:$C$6,2,FALSE())</f>
        <v>07:30</v>
      </c>
      <c r="J338" s="9" t="str">
        <f aca="false">VLOOKUP($H338,DM_CA_LAM!$A$4:$C$6,3,FALSE())</f>
        <v>17:30</v>
      </c>
      <c r="K338" s="9" t="s">
        <v>92</v>
      </c>
      <c r="L338" s="9" t="s">
        <v>143</v>
      </c>
      <c r="M338" s="9" t="n">
        <f aca="false">IF($K338="","",MAX(0,ROUND((TIMEVALUE($K338)-TIMEVALUE($I338))*1440,0)))</f>
        <v>0</v>
      </c>
      <c r="N338" s="9" t="n">
        <f aca="false">IF($L338="","",MAX(0,ROUND((TIMEVALUE($J338)-TIMEVALUE($L338))*1440,0)))</f>
        <v>0</v>
      </c>
      <c r="O338" s="9" t="n">
        <f aca="false">IF(OR($K338="",$L338=""),0,ROUND(VLOOKUP($H338,DM_CA_LAM!$A$4:$F$6,6,FALSE())-$M338/60-$N338/60,2))</f>
        <v>8</v>
      </c>
      <c r="P338" s="9" t="s">
        <v>108</v>
      </c>
      <c r="Q338" s="9" t="n">
        <v>0</v>
      </c>
      <c r="R338" s="10"/>
      <c r="S338" s="10"/>
      <c r="T338" s="9" t="str">
        <f aca="false">$B338&amp;"_"&amp;TEXT($F338,"yyyymmdd")</f>
        <v>NV006_20260626</v>
      </c>
      <c r="U338" s="9" t="str">
        <f aca="false">VLOOKUP($P338,DM_TRANG_THAI!$A$4:$B$9,2,FALSE())</f>
        <v>P</v>
      </c>
    </row>
    <row r="339" customFormat="false" ht="15.75" hidden="false" customHeight="true" outlineLevel="0" collapsed="false">
      <c r="A339" s="9" t="n">
        <v>336</v>
      </c>
      <c r="B339" s="9" t="s">
        <v>47</v>
      </c>
      <c r="C339" s="10" t="str">
        <f aca="false">VLOOKUP($B339,DM_NHAN_VIEN!$B$4:$F$18,2,FALSE())</f>
        <v>Ngô Văn Tài</v>
      </c>
      <c r="D339" s="9" t="str">
        <f aca="false">VLOOKUP($B339,DM_NHAN_VIEN!$B$4:$F$18,3,FALSE())</f>
        <v>Hành chính</v>
      </c>
      <c r="E339" s="9" t="str">
        <f aca="false">VLOOKUP($B339,DM_NHAN_VIEN!$B$4:$F$18,4,FALSE())</f>
        <v>Phó phòng</v>
      </c>
      <c r="F339" s="18" t="n">
        <v>46199</v>
      </c>
      <c r="G339" s="9" t="str">
        <f aca="false">CHOOSE(WEEKDAY(F339,2),"Thứ Hai","Thứ Ba","Thứ Tư","Thứ Năm","Thứ Sáu","Thứ Bảy","Chủ Nhật")</f>
        <v>Thứ Sáu</v>
      </c>
      <c r="H339" s="9" t="str">
        <f aca="false">VLOOKUP($B339,DM_NHAN_VIEN!$B$4:$F$18,5,FALSE())</f>
        <v>Ca Hành Chính</v>
      </c>
      <c r="I339" s="9" t="str">
        <f aca="false">VLOOKUP($H339,DM_CA_LAM!$A$4:$C$6,2,FALSE())</f>
        <v>07:30</v>
      </c>
      <c r="J339" s="9" t="str">
        <f aca="false">VLOOKUP($H339,DM_CA_LAM!$A$4:$C$6,3,FALSE())</f>
        <v>17:30</v>
      </c>
      <c r="K339" s="9" t="s">
        <v>192</v>
      </c>
      <c r="L339" s="9" t="s">
        <v>159</v>
      </c>
      <c r="M339" s="9" t="n">
        <f aca="false">IF($K339="","",MAX(0,ROUND((TIMEVALUE($K339)-TIMEVALUE($I339))*1440,0)))</f>
        <v>30</v>
      </c>
      <c r="N339" s="9" t="n">
        <f aca="false">IF($L339="","",MAX(0,ROUND((TIMEVALUE($J339)-TIMEVALUE($L339))*1440,0)))</f>
        <v>0</v>
      </c>
      <c r="O339" s="9" t="n">
        <f aca="false">IF(OR($K339="",$L339=""),0,ROUND(VLOOKUP($H339,DM_CA_LAM!$A$4:$F$6,6,FALSE())-$M339/60-$N339/60,2))</f>
        <v>7.5</v>
      </c>
      <c r="P339" s="9" t="s">
        <v>111</v>
      </c>
      <c r="Q339" s="9" t="n">
        <v>0</v>
      </c>
      <c r="R339" s="10"/>
      <c r="S339" s="10" t="s">
        <v>154</v>
      </c>
      <c r="T339" s="9" t="str">
        <f aca="false">$B339&amp;"_"&amp;TEXT($F339,"yyyymmdd")</f>
        <v>NV007_20260626</v>
      </c>
      <c r="U339" s="9" t="str">
        <f aca="false">VLOOKUP($P339,DM_TRANG_THAI!$A$4:$B$9,2,FALSE())</f>
        <v>L</v>
      </c>
    </row>
    <row r="340" customFormat="false" ht="15.75" hidden="false" customHeight="true" outlineLevel="0" collapsed="false">
      <c r="A340" s="9" t="n">
        <v>337</v>
      </c>
      <c r="B340" s="9" t="s">
        <v>51</v>
      </c>
      <c r="C340" s="10" t="str">
        <f aca="false">VLOOKUP($B340,DM_NHAN_VIEN!$B$4:$F$18,2,FALSE())</f>
        <v>Vũ Thị Nga</v>
      </c>
      <c r="D340" s="9" t="str">
        <f aca="false">VLOOKUP($B340,DM_NHAN_VIEN!$B$4:$F$18,3,FALSE())</f>
        <v>Hành chính</v>
      </c>
      <c r="E340" s="9" t="str">
        <f aca="false">VLOOKUP($B340,DM_NHAN_VIEN!$B$4:$F$18,4,FALSE())</f>
        <v>Chuyên viên</v>
      </c>
      <c r="F340" s="18" t="n">
        <v>46199</v>
      </c>
      <c r="G340" s="9" t="str">
        <f aca="false">CHOOSE(WEEKDAY(F340,2),"Thứ Hai","Thứ Ba","Thứ Tư","Thứ Năm","Thứ Sáu","Thứ Bảy","Chủ Nhật")</f>
        <v>Thứ Sáu</v>
      </c>
      <c r="H340" s="9" t="str">
        <f aca="false">VLOOKUP($B340,DM_NHAN_VIEN!$B$4:$F$18,5,FALSE())</f>
        <v>Ca Hành Chính</v>
      </c>
      <c r="I340" s="9" t="str">
        <f aca="false">VLOOKUP($H340,DM_CA_LAM!$A$4:$C$6,2,FALSE())</f>
        <v>07:30</v>
      </c>
      <c r="J340" s="9" t="str">
        <f aca="false">VLOOKUP($H340,DM_CA_LAM!$A$4:$C$6,3,FALSE())</f>
        <v>17:30</v>
      </c>
      <c r="K340" s="9" t="s">
        <v>167</v>
      </c>
      <c r="L340" s="9" t="s">
        <v>170</v>
      </c>
      <c r="M340" s="9" t="n">
        <f aca="false">IF($K340="","",MAX(0,ROUND((TIMEVALUE($K340)-TIMEVALUE($I340))*1440,0)))</f>
        <v>0</v>
      </c>
      <c r="N340" s="9" t="n">
        <f aca="false">IF($L340="","",MAX(0,ROUND((TIMEVALUE($J340)-TIMEVALUE($L340))*1440,0)))</f>
        <v>0</v>
      </c>
      <c r="O340" s="9" t="n">
        <f aca="false">IF(OR($K340="",$L340=""),0,ROUND(VLOOKUP($H340,DM_CA_LAM!$A$4:$F$6,6,FALSE())-$M340/60-$N340/60,2))</f>
        <v>8</v>
      </c>
      <c r="P340" s="9" t="s">
        <v>108</v>
      </c>
      <c r="Q340" s="9" t="n">
        <v>0</v>
      </c>
      <c r="R340" s="10"/>
      <c r="S340" s="10"/>
      <c r="T340" s="9" t="str">
        <f aca="false">$B340&amp;"_"&amp;TEXT($F340,"yyyymmdd")</f>
        <v>NV008_20260626</v>
      </c>
      <c r="U340" s="9" t="str">
        <f aca="false">VLOOKUP($P340,DM_TRANG_THAI!$A$4:$B$9,2,FALSE())</f>
        <v>P</v>
      </c>
    </row>
    <row r="341" customFormat="false" ht="15.75" hidden="false" customHeight="true" outlineLevel="0" collapsed="false">
      <c r="A341" s="9" t="n">
        <v>338</v>
      </c>
      <c r="B341" s="9" t="s">
        <v>55</v>
      </c>
      <c r="C341" s="10" t="str">
        <f aca="false">VLOOKUP($B341,DM_NHAN_VIEN!$B$4:$F$18,2,FALSE())</f>
        <v>Đặng Thị Hồng</v>
      </c>
      <c r="D341" s="9" t="str">
        <f aca="false">VLOOKUP($B341,DM_NHAN_VIEN!$B$4:$F$18,3,FALSE())</f>
        <v>Nhân sự</v>
      </c>
      <c r="E341" s="9" t="str">
        <f aca="false">VLOOKUP($B341,DM_NHAN_VIEN!$B$4:$F$18,4,FALSE())</f>
        <v>Chuyên viên</v>
      </c>
      <c r="F341" s="18" t="n">
        <v>46199</v>
      </c>
      <c r="G341" s="9" t="str">
        <f aca="false">CHOOSE(WEEKDAY(F341,2),"Thứ Hai","Thứ Ba","Thứ Tư","Thứ Năm","Thứ Sáu","Thứ Bảy","Chủ Nhật")</f>
        <v>Thứ Sáu</v>
      </c>
      <c r="H341" s="9" t="str">
        <f aca="false">VLOOKUP($B341,DM_NHAN_VIEN!$B$4:$F$18,5,FALSE())</f>
        <v>Ca Hành Chính</v>
      </c>
      <c r="I341" s="9" t="str">
        <f aca="false">VLOOKUP($H341,DM_CA_LAM!$A$4:$C$6,2,FALSE())</f>
        <v>07:30</v>
      </c>
      <c r="J341" s="9" t="str">
        <f aca="false">VLOOKUP($H341,DM_CA_LAM!$A$4:$C$6,3,FALSE())</f>
        <v>17:30</v>
      </c>
      <c r="K341" s="9" t="s">
        <v>158</v>
      </c>
      <c r="L341" s="9" t="s">
        <v>144</v>
      </c>
      <c r="M341" s="9" t="n">
        <f aca="false">IF($K341="","",MAX(0,ROUND((TIMEVALUE($K341)-TIMEVALUE($I341))*1440,0)))</f>
        <v>0</v>
      </c>
      <c r="N341" s="9" t="n">
        <f aca="false">IF($L341="","",MAX(0,ROUND((TIMEVALUE($J341)-TIMEVALUE($L341))*1440,0)))</f>
        <v>0</v>
      </c>
      <c r="O341" s="9" t="n">
        <f aca="false">IF(OR($K341="",$L341=""),0,ROUND(VLOOKUP($H341,DM_CA_LAM!$A$4:$F$6,6,FALSE())-$M341/60-$N341/60,2))</f>
        <v>8</v>
      </c>
      <c r="P341" s="9" t="s">
        <v>108</v>
      </c>
      <c r="Q341" s="9" t="n">
        <v>0</v>
      </c>
      <c r="R341" s="10"/>
      <c r="S341" s="10"/>
      <c r="T341" s="9" t="str">
        <f aca="false">$B341&amp;"_"&amp;TEXT($F341,"yyyymmdd")</f>
        <v>NV010_20260626</v>
      </c>
      <c r="U341" s="9" t="str">
        <f aca="false">VLOOKUP($P341,DM_TRANG_THAI!$A$4:$B$9,2,FALSE())</f>
        <v>P</v>
      </c>
    </row>
    <row r="342" customFormat="false" ht="15.75" hidden="false" customHeight="true" outlineLevel="0" collapsed="false">
      <c r="A342" s="9" t="n">
        <v>339</v>
      </c>
      <c r="B342" s="9" t="s">
        <v>58</v>
      </c>
      <c r="C342" s="10" t="str">
        <f aca="false">VLOOKUP($B342,DM_NHAN_VIEN!$B$4:$F$18,2,FALSE())</f>
        <v>Chu Văn Minh</v>
      </c>
      <c r="D342" s="9" t="str">
        <f aca="false">VLOOKUP($B342,DM_NHAN_VIEN!$B$4:$F$18,3,FALSE())</f>
        <v>Nhân sự</v>
      </c>
      <c r="E342" s="9" t="str">
        <f aca="false">VLOOKUP($B342,DM_NHAN_VIEN!$B$4:$F$18,4,FALSE())</f>
        <v>Chuyên viên</v>
      </c>
      <c r="F342" s="18" t="n">
        <v>46199</v>
      </c>
      <c r="G342" s="9" t="str">
        <f aca="false">CHOOSE(WEEKDAY(F342,2),"Thứ Hai","Thứ Ba","Thứ Tư","Thứ Năm","Thứ Sáu","Thứ Bảy","Chủ Nhật")</f>
        <v>Thứ Sáu</v>
      </c>
      <c r="H342" s="9" t="str">
        <f aca="false">VLOOKUP($B342,DM_NHAN_VIEN!$B$4:$F$18,5,FALSE())</f>
        <v>Ca Hành Chính</v>
      </c>
      <c r="I342" s="9" t="str">
        <f aca="false">VLOOKUP($H342,DM_CA_LAM!$A$4:$C$6,2,FALSE())</f>
        <v>07:30</v>
      </c>
      <c r="J342" s="9" t="str">
        <f aca="false">VLOOKUP($H342,DM_CA_LAM!$A$4:$C$6,3,FALSE())</f>
        <v>17:30</v>
      </c>
      <c r="K342" s="9" t="s">
        <v>148</v>
      </c>
      <c r="L342" s="9" t="s">
        <v>146</v>
      </c>
      <c r="M342" s="9" t="n">
        <f aca="false">IF($K342="","",MAX(0,ROUND((TIMEVALUE($K342)-TIMEVALUE($I342))*1440,0)))</f>
        <v>0</v>
      </c>
      <c r="N342" s="9" t="n">
        <f aca="false">IF($L342="","",MAX(0,ROUND((TIMEVALUE($J342)-TIMEVALUE($L342))*1440,0)))</f>
        <v>0</v>
      </c>
      <c r="O342" s="9" t="n">
        <f aca="false">IF(OR($K342="",$L342=""),0,ROUND(VLOOKUP($H342,DM_CA_LAM!$A$4:$F$6,6,FALSE())-$M342/60-$N342/60,2))</f>
        <v>8</v>
      </c>
      <c r="P342" s="9" t="s">
        <v>108</v>
      </c>
      <c r="Q342" s="9" t="n">
        <v>0</v>
      </c>
      <c r="R342" s="10"/>
      <c r="S342" s="10"/>
      <c r="T342" s="9" t="str">
        <f aca="false">$B342&amp;"_"&amp;TEXT($F342,"yyyymmdd")</f>
        <v>NV011_20260626</v>
      </c>
      <c r="U342" s="9" t="str">
        <f aca="false">VLOOKUP($P342,DM_TRANG_THAI!$A$4:$B$9,2,FALSE())</f>
        <v>P</v>
      </c>
    </row>
    <row r="343" customFormat="false" ht="15.75" hidden="false" customHeight="true" outlineLevel="0" collapsed="false">
      <c r="A343" s="9" t="n">
        <v>340</v>
      </c>
      <c r="B343" s="9" t="s">
        <v>61</v>
      </c>
      <c r="C343" s="10" t="str">
        <f aca="false">VLOOKUP($B343,DM_NHAN_VIEN!$B$4:$F$18,2,FALSE())</f>
        <v>Phan Thị Khánh</v>
      </c>
      <c r="D343" s="9" t="str">
        <f aca="false">VLOOKUP($B343,DM_NHAN_VIEN!$B$4:$F$18,3,FALSE())</f>
        <v>Kế toán</v>
      </c>
      <c r="E343" s="9" t="str">
        <f aca="false">VLOOKUP($B343,DM_NHAN_VIEN!$B$4:$F$18,4,FALSE())</f>
        <v>Trưởng phòng</v>
      </c>
      <c r="F343" s="18" t="n">
        <v>46199</v>
      </c>
      <c r="G343" s="9" t="str">
        <f aca="false">CHOOSE(WEEKDAY(F343,2),"Thứ Hai","Thứ Ba","Thứ Tư","Thứ Năm","Thứ Sáu","Thứ Bảy","Chủ Nhật")</f>
        <v>Thứ Sáu</v>
      </c>
      <c r="H343" s="9" t="str">
        <f aca="false">VLOOKUP($B343,DM_NHAN_VIEN!$B$4:$F$18,5,FALSE())</f>
        <v>Ca Hành Chính</v>
      </c>
      <c r="I343" s="9" t="str">
        <f aca="false">VLOOKUP($H343,DM_CA_LAM!$A$4:$C$6,2,FALSE())</f>
        <v>07:30</v>
      </c>
      <c r="J343" s="9" t="str">
        <f aca="false">VLOOKUP($H343,DM_CA_LAM!$A$4:$C$6,3,FALSE())</f>
        <v>17:30</v>
      </c>
      <c r="K343" s="9" t="s">
        <v>156</v>
      </c>
      <c r="L343" s="9" t="s">
        <v>153</v>
      </c>
      <c r="M343" s="9" t="n">
        <f aca="false">IF($K343="","",MAX(0,ROUND((TIMEVALUE($K343)-TIMEVALUE($I343))*1440,0)))</f>
        <v>0</v>
      </c>
      <c r="N343" s="9" t="n">
        <f aca="false">IF($L343="","",MAX(0,ROUND((TIMEVALUE($J343)-TIMEVALUE($L343))*1440,0)))</f>
        <v>0</v>
      </c>
      <c r="O343" s="9" t="n">
        <f aca="false">IF(OR($K343="",$L343=""),0,ROUND(VLOOKUP($H343,DM_CA_LAM!$A$4:$F$6,6,FALSE())-$M343/60-$N343/60,2))</f>
        <v>8</v>
      </c>
      <c r="P343" s="9" t="s">
        <v>108</v>
      </c>
      <c r="Q343" s="9" t="n">
        <v>0</v>
      </c>
      <c r="R343" s="10"/>
      <c r="S343" s="10"/>
      <c r="T343" s="9" t="str">
        <f aca="false">$B343&amp;"_"&amp;TEXT($F343,"yyyymmdd")</f>
        <v>NV014_20260626</v>
      </c>
      <c r="U343" s="9" t="str">
        <f aca="false">VLOOKUP($P343,DM_TRANG_THAI!$A$4:$B$9,2,FALSE())</f>
        <v>P</v>
      </c>
    </row>
    <row r="344" customFormat="false" ht="15.75" hidden="false" customHeight="true" outlineLevel="0" collapsed="false">
      <c r="A344" s="9" t="n">
        <v>341</v>
      </c>
      <c r="B344" s="9" t="s">
        <v>65</v>
      </c>
      <c r="C344" s="10" t="str">
        <f aca="false">VLOOKUP($B344,DM_NHAN_VIEN!$B$4:$F$18,2,FALSE())</f>
        <v>Trịnh Văn Hùng</v>
      </c>
      <c r="D344" s="9" t="str">
        <f aca="false">VLOOKUP($B344,DM_NHAN_VIEN!$B$4:$F$18,3,FALSE())</f>
        <v>Kế toán</v>
      </c>
      <c r="E344" s="9" t="str">
        <f aca="false">VLOOKUP($B344,DM_NHAN_VIEN!$B$4:$F$18,4,FALSE())</f>
        <v>Phó phòng</v>
      </c>
      <c r="F344" s="18" t="n">
        <v>46199</v>
      </c>
      <c r="G344" s="9" t="str">
        <f aca="false">CHOOSE(WEEKDAY(F344,2),"Thứ Hai","Thứ Ba","Thứ Tư","Thứ Năm","Thứ Sáu","Thứ Bảy","Chủ Nhật")</f>
        <v>Thứ Sáu</v>
      </c>
      <c r="H344" s="9" t="str">
        <f aca="false">VLOOKUP($B344,DM_NHAN_VIEN!$B$4:$F$18,5,FALSE())</f>
        <v>Ca Hành Chính</v>
      </c>
      <c r="I344" s="9" t="str">
        <f aca="false">VLOOKUP($H344,DM_CA_LAM!$A$4:$C$6,2,FALSE())</f>
        <v>07:30</v>
      </c>
      <c r="J344" s="9" t="str">
        <f aca="false">VLOOKUP($H344,DM_CA_LAM!$A$4:$C$6,3,FALSE())</f>
        <v>17:30</v>
      </c>
      <c r="K344" s="9"/>
      <c r="L344" s="9"/>
      <c r="M344" s="9" t="str">
        <f aca="false">IF($K344="","",MAX(0,ROUND((TIMEVALUE($K344)-TIMEVALUE($I344))*1440,0)))</f>
        <v/>
      </c>
      <c r="N344" s="9" t="str">
        <f aca="false">IF($L344="","",MAX(0,ROUND((TIMEVALUE($J344)-TIMEVALUE($L344))*1440,0)))</f>
        <v/>
      </c>
      <c r="O344" s="9" t="n">
        <f aca="false">IF(OR($K344="",$L344=""),0,ROUND(VLOOKUP($H344,DM_CA_LAM!$A$4:$F$6,6,FALSE())-$M344/60-$N344/60,2))</f>
        <v>0</v>
      </c>
      <c r="P344" s="9" t="s">
        <v>120</v>
      </c>
      <c r="Q344" s="9" t="n">
        <v>0</v>
      </c>
      <c r="R344" s="10"/>
      <c r="S344" s="10"/>
      <c r="T344" s="9" t="str">
        <f aca="false">$B344&amp;"_"&amp;TEXT($F344,"yyyymmdd")</f>
        <v>NV015_20260626</v>
      </c>
      <c r="U344" s="9" t="str">
        <f aca="false">VLOOKUP($P344,DM_TRANG_THAI!$A$4:$B$9,2,FALSE())</f>
        <v>KL</v>
      </c>
    </row>
    <row r="345" customFormat="false" ht="15.75" hidden="false" customHeight="true" outlineLevel="0" collapsed="false">
      <c r="A345" s="9" t="n">
        <v>342</v>
      </c>
      <c r="B345" s="9" t="s">
        <v>68</v>
      </c>
      <c r="C345" s="10" t="str">
        <f aca="false">VLOOKUP($B345,DM_NHAN_VIEN!$B$4:$F$18,2,FALSE())</f>
        <v>Hoàng Văn Lộc</v>
      </c>
      <c r="D345" s="9" t="str">
        <f aca="false">VLOOKUP($B345,DM_NHAN_VIEN!$B$4:$F$18,3,FALSE())</f>
        <v>Kinh doanh</v>
      </c>
      <c r="E345" s="9" t="str">
        <f aca="false">VLOOKUP($B345,DM_NHAN_VIEN!$B$4:$F$18,4,FALSE())</f>
        <v>Trưởng phòng</v>
      </c>
      <c r="F345" s="18" t="n">
        <v>46199</v>
      </c>
      <c r="G345" s="9" t="str">
        <f aca="false">CHOOSE(WEEKDAY(F345,2),"Thứ Hai","Thứ Ba","Thứ Tư","Thứ Năm","Thứ Sáu","Thứ Bảy","Chủ Nhật")</f>
        <v>Thứ Sáu</v>
      </c>
      <c r="H345" s="9" t="str">
        <f aca="false">VLOOKUP($B345,DM_NHAN_VIEN!$B$4:$F$18,5,FALSE())</f>
        <v>Ca Hành Chính</v>
      </c>
      <c r="I345" s="9" t="str">
        <f aca="false">VLOOKUP($H345,DM_CA_LAM!$A$4:$C$6,2,FALSE())</f>
        <v>07:30</v>
      </c>
      <c r="J345" s="9" t="str">
        <f aca="false">VLOOKUP($H345,DM_CA_LAM!$A$4:$C$6,3,FALSE())</f>
        <v>17:30</v>
      </c>
      <c r="K345" s="9" t="s">
        <v>161</v>
      </c>
      <c r="L345" s="9" t="s">
        <v>93</v>
      </c>
      <c r="M345" s="9" t="n">
        <f aca="false">IF($K345="","",MAX(0,ROUND((TIMEVALUE($K345)-TIMEVALUE($I345))*1440,0)))</f>
        <v>0</v>
      </c>
      <c r="N345" s="9" t="n">
        <f aca="false">IF($L345="","",MAX(0,ROUND((TIMEVALUE($J345)-TIMEVALUE($L345))*1440,0)))</f>
        <v>0</v>
      </c>
      <c r="O345" s="9" t="n">
        <f aca="false">IF(OR($K345="",$L345=""),0,ROUND(VLOOKUP($H345,DM_CA_LAM!$A$4:$F$6,6,FALSE())-$M345/60-$N345/60,2))</f>
        <v>8</v>
      </c>
      <c r="P345" s="9" t="s">
        <v>108</v>
      </c>
      <c r="Q345" s="9" t="n">
        <v>0</v>
      </c>
      <c r="R345" s="10"/>
      <c r="S345" s="10"/>
      <c r="T345" s="9" t="str">
        <f aca="false">$B345&amp;"_"&amp;TEXT($F345,"yyyymmdd")</f>
        <v>NV019_20260626</v>
      </c>
      <c r="U345" s="9" t="str">
        <f aca="false">VLOOKUP($P345,DM_TRANG_THAI!$A$4:$B$9,2,FALSE())</f>
        <v>P</v>
      </c>
    </row>
    <row r="346" customFormat="false" ht="15.75" hidden="false" customHeight="true" outlineLevel="0" collapsed="false">
      <c r="A346" s="9" t="n">
        <v>343</v>
      </c>
      <c r="B346" s="9" t="s">
        <v>72</v>
      </c>
      <c r="C346" s="10" t="str">
        <f aca="false">VLOOKUP($B346,DM_NHAN_VIEN!$B$4:$F$18,2,FALSE())</f>
        <v>Nguyễn Văn Phú</v>
      </c>
      <c r="D346" s="9" t="str">
        <f aca="false">VLOOKUP($B346,DM_NHAN_VIEN!$B$4:$F$18,3,FALSE())</f>
        <v>Kinh doanh</v>
      </c>
      <c r="E346" s="9" t="str">
        <f aca="false">VLOOKUP($B346,DM_NHAN_VIEN!$B$4:$F$18,4,FALSE())</f>
        <v>Nhân viên</v>
      </c>
      <c r="F346" s="18" t="n">
        <v>46199</v>
      </c>
      <c r="G346" s="9" t="str">
        <f aca="false">CHOOSE(WEEKDAY(F346,2),"Thứ Hai","Thứ Ba","Thứ Tư","Thứ Năm","Thứ Sáu","Thứ Bảy","Chủ Nhật")</f>
        <v>Thứ Sáu</v>
      </c>
      <c r="H346" s="9" t="str">
        <f aca="false">VLOOKUP($B346,DM_NHAN_VIEN!$B$4:$F$18,5,FALSE())</f>
        <v>Ca Hành Chính</v>
      </c>
      <c r="I346" s="9" t="str">
        <f aca="false">VLOOKUP($H346,DM_CA_LAM!$A$4:$C$6,2,FALSE())</f>
        <v>07:30</v>
      </c>
      <c r="J346" s="9" t="str">
        <f aca="false">VLOOKUP($H346,DM_CA_LAM!$A$4:$C$6,3,FALSE())</f>
        <v>17:30</v>
      </c>
      <c r="K346" s="9" t="s">
        <v>167</v>
      </c>
      <c r="L346" s="9" t="s">
        <v>146</v>
      </c>
      <c r="M346" s="9" t="n">
        <f aca="false">IF($K346="","",MAX(0,ROUND((TIMEVALUE($K346)-TIMEVALUE($I346))*1440,0)))</f>
        <v>0</v>
      </c>
      <c r="N346" s="9" t="n">
        <f aca="false">IF($L346="","",MAX(0,ROUND((TIMEVALUE($J346)-TIMEVALUE($L346))*1440,0)))</f>
        <v>0</v>
      </c>
      <c r="O346" s="9" t="n">
        <f aca="false">IF(OR($K346="",$L346=""),0,ROUND(VLOOKUP($H346,DM_CA_LAM!$A$4:$F$6,6,FALSE())-$M346/60-$N346/60,2))</f>
        <v>8</v>
      </c>
      <c r="P346" s="9" t="s">
        <v>108</v>
      </c>
      <c r="Q346" s="9" t="n">
        <v>0</v>
      </c>
      <c r="R346" s="10"/>
      <c r="S346" s="10"/>
      <c r="T346" s="9" t="str">
        <f aca="false">$B346&amp;"_"&amp;TEXT($F346,"yyyymmdd")</f>
        <v>NV021_20260626</v>
      </c>
      <c r="U346" s="9" t="str">
        <f aca="false">VLOOKUP($P346,DM_TRANG_THAI!$A$4:$B$9,2,FALSE())</f>
        <v>P</v>
      </c>
    </row>
    <row r="347" customFormat="false" ht="15.75" hidden="false" customHeight="true" outlineLevel="0" collapsed="false">
      <c r="A347" s="9" t="n">
        <v>344</v>
      </c>
      <c r="B347" s="9" t="s">
        <v>76</v>
      </c>
      <c r="C347" s="10" t="str">
        <f aca="false">VLOOKUP($B347,DM_NHAN_VIEN!$B$4:$F$18,2,FALSE())</f>
        <v>Lý Văn Dũng</v>
      </c>
      <c r="D347" s="9" t="str">
        <f aca="false">VLOOKUP($B347,DM_NHAN_VIEN!$B$4:$F$18,3,FALSE())</f>
        <v>Xưởng sản xuất</v>
      </c>
      <c r="E347" s="9" t="str">
        <f aca="false">VLOOKUP($B347,DM_NHAN_VIEN!$B$4:$F$18,4,FALSE())</f>
        <v>Tổ trưởng</v>
      </c>
      <c r="F347" s="18" t="n">
        <v>46199</v>
      </c>
      <c r="G347" s="9" t="str">
        <f aca="false">CHOOSE(WEEKDAY(F347,2),"Thứ Hai","Thứ Ba","Thứ Tư","Thứ Năm","Thứ Sáu","Thứ Bảy","Chủ Nhật")</f>
        <v>Thứ Sáu</v>
      </c>
      <c r="H347" s="9" t="str">
        <f aca="false">VLOOKUP($B347,DM_NHAN_VIEN!$B$4:$F$18,5,FALSE())</f>
        <v>Ca Hành Chính</v>
      </c>
      <c r="I347" s="9" t="str">
        <f aca="false">VLOOKUP($H347,DM_CA_LAM!$A$4:$C$6,2,FALSE())</f>
        <v>07:30</v>
      </c>
      <c r="J347" s="9" t="str">
        <f aca="false">VLOOKUP($H347,DM_CA_LAM!$A$4:$C$6,3,FALSE())</f>
        <v>17:30</v>
      </c>
      <c r="K347" s="9" t="s">
        <v>167</v>
      </c>
      <c r="L347" s="9" t="s">
        <v>166</v>
      </c>
      <c r="M347" s="9" t="n">
        <f aca="false">IF($K347="","",MAX(0,ROUND((TIMEVALUE($K347)-TIMEVALUE($I347))*1440,0)))</f>
        <v>0</v>
      </c>
      <c r="N347" s="9" t="n">
        <f aca="false">IF($L347="","",MAX(0,ROUND((TIMEVALUE($J347)-TIMEVALUE($L347))*1440,0)))</f>
        <v>0</v>
      </c>
      <c r="O347" s="9" t="n">
        <f aca="false">IF(OR($K347="",$L347=""),0,ROUND(VLOOKUP($H347,DM_CA_LAM!$A$4:$F$6,6,FALSE())-$M347/60-$N347/60,2))</f>
        <v>8</v>
      </c>
      <c r="P347" s="9" t="s">
        <v>108</v>
      </c>
      <c r="Q347" s="9" t="n">
        <v>0</v>
      </c>
      <c r="R347" s="10"/>
      <c r="S347" s="10"/>
      <c r="T347" s="9" t="str">
        <f aca="false">$B347&amp;"_"&amp;TEXT($F347,"yyyymmdd")</f>
        <v>NV029_20260626</v>
      </c>
      <c r="U347" s="9" t="str">
        <f aca="false">VLOOKUP($P347,DM_TRANG_THAI!$A$4:$B$9,2,FALSE())</f>
        <v>P</v>
      </c>
    </row>
    <row r="348" customFormat="false" ht="15.75" hidden="false" customHeight="true" outlineLevel="0" collapsed="false">
      <c r="A348" s="9" t="n">
        <v>345</v>
      </c>
      <c r="B348" s="9" t="s">
        <v>80</v>
      </c>
      <c r="C348" s="10" t="str">
        <f aca="false">VLOOKUP($B348,DM_NHAN_VIEN!$B$4:$F$18,2,FALSE())</f>
        <v>Tống Văn Thắng</v>
      </c>
      <c r="D348" s="9" t="str">
        <f aca="false">VLOOKUP($B348,DM_NHAN_VIEN!$B$4:$F$18,3,FALSE())</f>
        <v>Xưởng sản xuất</v>
      </c>
      <c r="E348" s="9" t="str">
        <f aca="false">VLOOKUP($B348,DM_NHAN_VIEN!$B$4:$F$18,4,FALSE())</f>
        <v>Tổ trưởng</v>
      </c>
      <c r="F348" s="18" t="n">
        <v>46199</v>
      </c>
      <c r="G348" s="9" t="str">
        <f aca="false">CHOOSE(WEEKDAY(F348,2),"Thứ Hai","Thứ Ba","Thứ Tư","Thứ Năm","Thứ Sáu","Thứ Bảy","Chủ Nhật")</f>
        <v>Thứ Sáu</v>
      </c>
      <c r="H348" s="9" t="str">
        <f aca="false">VLOOKUP($B348,DM_NHAN_VIEN!$B$4:$F$18,5,FALSE())</f>
        <v>Ca Hành Chính</v>
      </c>
      <c r="I348" s="9" t="str">
        <f aca="false">VLOOKUP($H348,DM_CA_LAM!$A$4:$C$6,2,FALSE())</f>
        <v>07:30</v>
      </c>
      <c r="J348" s="9" t="str">
        <f aca="false">VLOOKUP($H348,DM_CA_LAM!$A$4:$C$6,3,FALSE())</f>
        <v>17:30</v>
      </c>
      <c r="K348" s="9" t="s">
        <v>142</v>
      </c>
      <c r="L348" s="9" t="s">
        <v>183</v>
      </c>
      <c r="M348" s="9" t="n">
        <f aca="false">IF($K348="","",MAX(0,ROUND((TIMEVALUE($K348)-TIMEVALUE($I348))*1440,0)))</f>
        <v>0</v>
      </c>
      <c r="N348" s="9" t="n">
        <f aca="false">IF($L348="","",MAX(0,ROUND((TIMEVALUE($J348)-TIMEVALUE($L348))*1440,0)))</f>
        <v>0</v>
      </c>
      <c r="O348" s="9" t="n">
        <f aca="false">IF(OR($K348="",$L348=""),0,ROUND(VLOOKUP($H348,DM_CA_LAM!$A$4:$F$6,6,FALSE())-$M348/60-$N348/60,2))</f>
        <v>8</v>
      </c>
      <c r="P348" s="9" t="s">
        <v>108</v>
      </c>
      <c r="Q348" s="9" t="n">
        <v>0</v>
      </c>
      <c r="R348" s="10"/>
      <c r="S348" s="10"/>
      <c r="T348" s="9" t="str">
        <f aca="false">$B348&amp;"_"&amp;TEXT($F348,"yyyymmdd")</f>
        <v>NV030_20260626</v>
      </c>
      <c r="U348" s="9" t="str">
        <f aca="false">VLOOKUP($P348,DM_TRANG_THAI!$A$4:$B$9,2,FALSE())</f>
        <v>P</v>
      </c>
    </row>
    <row r="349" customFormat="false" ht="15.75" hidden="false" customHeight="true" outlineLevel="0" collapsed="false">
      <c r="A349" s="9" t="n">
        <v>346</v>
      </c>
      <c r="B349" s="9" t="s">
        <v>24</v>
      </c>
      <c r="C349" s="10" t="str">
        <f aca="false">VLOOKUP($B349,DM_NHAN_VIEN!$B$4:$F$18,2,FALSE())</f>
        <v>Nguyễn Văn Giám Đốc</v>
      </c>
      <c r="D349" s="9" t="str">
        <f aca="false">VLOOKUP($B349,DM_NHAN_VIEN!$B$4:$F$18,3,FALSE())</f>
        <v>Hành chính</v>
      </c>
      <c r="E349" s="9" t="str">
        <f aca="false">VLOOKUP($B349,DM_NHAN_VIEN!$B$4:$F$18,4,FALSE())</f>
        <v>Giám đốc</v>
      </c>
      <c r="F349" s="18" t="n">
        <v>46200</v>
      </c>
      <c r="G349" s="9" t="str">
        <f aca="false">CHOOSE(WEEKDAY(F349,2),"Thứ Hai","Thứ Ba","Thứ Tư","Thứ Năm","Thứ Sáu","Thứ Bảy","Chủ Nhật")</f>
        <v>Thứ Bảy</v>
      </c>
      <c r="H349" s="9" t="str">
        <f aca="false">VLOOKUP($B349,DM_NHAN_VIEN!$B$4:$F$18,5,FALSE())</f>
        <v>Ca Hành Chính</v>
      </c>
      <c r="I349" s="9" t="str">
        <f aca="false">VLOOKUP($H349,DM_CA_LAM!$A$4:$C$6,2,FALSE())</f>
        <v>07:30</v>
      </c>
      <c r="J349" s="9" t="str">
        <f aca="false">VLOOKUP($H349,DM_CA_LAM!$A$4:$C$6,3,FALSE())</f>
        <v>17:30</v>
      </c>
      <c r="K349" s="9" t="s">
        <v>150</v>
      </c>
      <c r="L349" s="9" t="s">
        <v>166</v>
      </c>
      <c r="M349" s="9" t="n">
        <f aca="false">IF($K349="","",MAX(0,ROUND((TIMEVALUE($K349)-TIMEVALUE($I349))*1440,0)))</f>
        <v>0</v>
      </c>
      <c r="N349" s="9" t="n">
        <f aca="false">IF($L349="","",MAX(0,ROUND((TIMEVALUE($J349)-TIMEVALUE($L349))*1440,0)))</f>
        <v>0</v>
      </c>
      <c r="O349" s="9" t="n">
        <f aca="false">IF(OR($K349="",$L349=""),0,ROUND(VLOOKUP($H349,DM_CA_LAM!$A$4:$F$6,6,FALSE())-$M349/60-$N349/60,2))</f>
        <v>8</v>
      </c>
      <c r="P349" s="9" t="s">
        <v>108</v>
      </c>
      <c r="Q349" s="9" t="n">
        <v>0</v>
      </c>
      <c r="R349" s="10"/>
      <c r="S349" s="10"/>
      <c r="T349" s="9" t="str">
        <f aca="false">$B349&amp;"_"&amp;TEXT($F349,"yyyymmdd")</f>
        <v>NV002_20260627</v>
      </c>
      <c r="U349" s="9" t="str">
        <f aca="false">VLOOKUP($P349,DM_TRANG_THAI!$A$4:$B$9,2,FALSE())</f>
        <v>P</v>
      </c>
    </row>
    <row r="350" customFormat="false" ht="15.75" hidden="false" customHeight="true" outlineLevel="0" collapsed="false">
      <c r="A350" s="9" t="n">
        <v>347</v>
      </c>
      <c r="B350" s="9" t="s">
        <v>30</v>
      </c>
      <c r="C350" s="10" t="str">
        <f aca="false">VLOOKUP($B350,DM_NHAN_VIEN!$B$4:$F$18,2,FALSE())</f>
        <v>Trần Thị Nhân Sự</v>
      </c>
      <c r="D350" s="9" t="str">
        <f aca="false">VLOOKUP($B350,DM_NHAN_VIEN!$B$4:$F$18,3,FALSE())</f>
        <v>Nhân sự</v>
      </c>
      <c r="E350" s="9" t="str">
        <f aca="false">VLOOKUP($B350,DM_NHAN_VIEN!$B$4:$F$18,4,FALSE())</f>
        <v>Trưởng phòng</v>
      </c>
      <c r="F350" s="18" t="n">
        <v>46200</v>
      </c>
      <c r="G350" s="9" t="str">
        <f aca="false">CHOOSE(WEEKDAY(F350,2),"Thứ Hai","Thứ Ba","Thứ Tư","Thứ Năm","Thứ Sáu","Thứ Bảy","Chủ Nhật")</f>
        <v>Thứ Bảy</v>
      </c>
      <c r="H350" s="9" t="str">
        <f aca="false">VLOOKUP($B350,DM_NHAN_VIEN!$B$4:$F$18,5,FALSE())</f>
        <v>Ca Hành Chính</v>
      </c>
      <c r="I350" s="9" t="str">
        <f aca="false">VLOOKUP($H350,DM_CA_LAM!$A$4:$C$6,2,FALSE())</f>
        <v>07:30</v>
      </c>
      <c r="J350" s="9" t="str">
        <f aca="false">VLOOKUP($H350,DM_CA_LAM!$A$4:$C$6,3,FALSE())</f>
        <v>17:30</v>
      </c>
      <c r="K350" s="9" t="s">
        <v>145</v>
      </c>
      <c r="L350" s="9" t="s">
        <v>149</v>
      </c>
      <c r="M350" s="9" t="n">
        <f aca="false">IF($K350="","",MAX(0,ROUND((TIMEVALUE($K350)-TIMEVALUE($I350))*1440,0)))</f>
        <v>0</v>
      </c>
      <c r="N350" s="9" t="n">
        <f aca="false">IF($L350="","",MAX(0,ROUND((TIMEVALUE($J350)-TIMEVALUE($L350))*1440,0)))</f>
        <v>0</v>
      </c>
      <c r="O350" s="9" t="n">
        <f aca="false">IF(OR($K350="",$L350=""),0,ROUND(VLOOKUP($H350,DM_CA_LAM!$A$4:$F$6,6,FALSE())-$M350/60-$N350/60,2))</f>
        <v>8</v>
      </c>
      <c r="P350" s="9" t="s">
        <v>108</v>
      </c>
      <c r="Q350" s="9" t="n">
        <v>2.5</v>
      </c>
      <c r="R350" s="10" t="s">
        <v>151</v>
      </c>
      <c r="S350" s="10"/>
      <c r="T350" s="9" t="str">
        <f aca="false">$B350&amp;"_"&amp;TEXT($F350,"yyyymmdd")</f>
        <v>NV003_20260627</v>
      </c>
      <c r="U350" s="9" t="str">
        <f aca="false">VLOOKUP($P350,DM_TRANG_THAI!$A$4:$B$9,2,FALSE())</f>
        <v>P</v>
      </c>
    </row>
    <row r="351" customFormat="false" ht="15.75" hidden="false" customHeight="true" outlineLevel="0" collapsed="false">
      <c r="A351" s="9" t="n">
        <v>348</v>
      </c>
      <c r="B351" s="9" t="s">
        <v>35</v>
      </c>
      <c r="C351" s="10" t="str">
        <f aca="false">VLOOKUP($B351,DM_NHAN_VIEN!$B$4:$F$18,2,FALSE())</f>
        <v>Lê Văn Quản Đốc</v>
      </c>
      <c r="D351" s="9" t="str">
        <f aca="false">VLOOKUP($B351,DM_NHAN_VIEN!$B$4:$F$18,3,FALSE())</f>
        <v>Xưởng sản xuất</v>
      </c>
      <c r="E351" s="9" t="str">
        <f aca="false">VLOOKUP($B351,DM_NHAN_VIEN!$B$4:$F$18,4,FALSE())</f>
        <v>Quản đốc</v>
      </c>
      <c r="F351" s="18" t="n">
        <v>46200</v>
      </c>
      <c r="G351" s="9" t="str">
        <f aca="false">CHOOSE(WEEKDAY(F351,2),"Thứ Hai","Thứ Ba","Thứ Tư","Thứ Năm","Thứ Sáu","Thứ Bảy","Chủ Nhật")</f>
        <v>Thứ Bảy</v>
      </c>
      <c r="H351" s="9" t="str">
        <f aca="false">VLOOKUP($B351,DM_NHAN_VIEN!$B$4:$F$18,5,FALSE())</f>
        <v>Ca Hành Chính</v>
      </c>
      <c r="I351" s="9" t="str">
        <f aca="false">VLOOKUP($H351,DM_CA_LAM!$A$4:$C$6,2,FALSE())</f>
        <v>07:30</v>
      </c>
      <c r="J351" s="9" t="str">
        <f aca="false">VLOOKUP($H351,DM_CA_LAM!$A$4:$C$6,3,FALSE())</f>
        <v>17:30</v>
      </c>
      <c r="K351" s="9" t="s">
        <v>147</v>
      </c>
      <c r="L351" s="9" t="s">
        <v>144</v>
      </c>
      <c r="M351" s="9" t="n">
        <f aca="false">IF($K351="","",MAX(0,ROUND((TIMEVALUE($K351)-TIMEVALUE($I351))*1440,0)))</f>
        <v>0</v>
      </c>
      <c r="N351" s="9" t="n">
        <f aca="false">IF($L351="","",MAX(0,ROUND((TIMEVALUE($J351)-TIMEVALUE($L351))*1440,0)))</f>
        <v>0</v>
      </c>
      <c r="O351" s="9" t="n">
        <f aca="false">IF(OR($K351="",$L351=""),0,ROUND(VLOOKUP($H351,DM_CA_LAM!$A$4:$F$6,6,FALSE())-$M351/60-$N351/60,2))</f>
        <v>8</v>
      </c>
      <c r="P351" s="9" t="s">
        <v>108</v>
      </c>
      <c r="Q351" s="9" t="n">
        <v>1.5</v>
      </c>
      <c r="R351" s="10" t="s">
        <v>184</v>
      </c>
      <c r="S351" s="10"/>
      <c r="T351" s="9" t="str">
        <f aca="false">$B351&amp;"_"&amp;TEXT($F351,"yyyymmdd")</f>
        <v>NV004_20260627</v>
      </c>
      <c r="U351" s="9" t="str">
        <f aca="false">VLOOKUP($P351,DM_TRANG_THAI!$A$4:$B$9,2,FALSE())</f>
        <v>P</v>
      </c>
    </row>
    <row r="352" customFormat="false" ht="15.75" hidden="false" customHeight="true" outlineLevel="0" collapsed="false">
      <c r="A352" s="9" t="n">
        <v>349</v>
      </c>
      <c r="B352" s="9" t="s">
        <v>40</v>
      </c>
      <c r="C352" s="10" t="str">
        <f aca="false">VLOOKUP($B352,DM_NHAN_VIEN!$B$4:$F$18,2,FALSE())</f>
        <v>Phạm Công Nhân</v>
      </c>
      <c r="D352" s="9" t="str">
        <f aca="false">VLOOKUP($B352,DM_NHAN_VIEN!$B$4:$F$18,3,FALSE())</f>
        <v>Xưởng sản xuất</v>
      </c>
      <c r="E352" s="9" t="str">
        <f aca="false">VLOOKUP($B352,DM_NHAN_VIEN!$B$4:$F$18,4,FALSE())</f>
        <v>Công nhân</v>
      </c>
      <c r="F352" s="18" t="n">
        <v>46200</v>
      </c>
      <c r="G352" s="9" t="str">
        <f aca="false">CHOOSE(WEEKDAY(F352,2),"Thứ Hai","Thứ Ba","Thứ Tư","Thứ Năm","Thứ Sáu","Thứ Bảy","Chủ Nhật")</f>
        <v>Thứ Bảy</v>
      </c>
      <c r="H352" s="9" t="str">
        <f aca="false">VLOOKUP($B352,DM_NHAN_VIEN!$B$4:$F$18,5,FALSE())</f>
        <v>Ca Hành Chính</v>
      </c>
      <c r="I352" s="9" t="str">
        <f aca="false">VLOOKUP($H352,DM_CA_LAM!$A$4:$C$6,2,FALSE())</f>
        <v>07:30</v>
      </c>
      <c r="J352" s="9" t="str">
        <f aca="false">VLOOKUP($H352,DM_CA_LAM!$A$4:$C$6,3,FALSE())</f>
        <v>17:30</v>
      </c>
      <c r="K352" s="9" t="s">
        <v>147</v>
      </c>
      <c r="L352" s="9" t="s">
        <v>163</v>
      </c>
      <c r="M352" s="9" t="n">
        <f aca="false">IF($K352="","",MAX(0,ROUND((TIMEVALUE($K352)-TIMEVALUE($I352))*1440,0)))</f>
        <v>0</v>
      </c>
      <c r="N352" s="9" t="n">
        <f aca="false">IF($L352="","",MAX(0,ROUND((TIMEVALUE($J352)-TIMEVALUE($L352))*1440,0)))</f>
        <v>0</v>
      </c>
      <c r="O352" s="9" t="n">
        <f aca="false">IF(OR($K352="",$L352=""),0,ROUND(VLOOKUP($H352,DM_CA_LAM!$A$4:$F$6,6,FALSE())-$M352/60-$N352/60,2))</f>
        <v>8</v>
      </c>
      <c r="P352" s="9" t="s">
        <v>108</v>
      </c>
      <c r="Q352" s="9" t="n">
        <v>0</v>
      </c>
      <c r="R352" s="10"/>
      <c r="S352" s="10"/>
      <c r="T352" s="9" t="str">
        <f aca="false">$B352&amp;"_"&amp;TEXT($F352,"yyyymmdd")</f>
        <v>NV005_20260627</v>
      </c>
      <c r="U352" s="9" t="str">
        <f aca="false">VLOOKUP($P352,DM_TRANG_THAI!$A$4:$B$9,2,FALSE())</f>
        <v>P</v>
      </c>
    </row>
    <row r="353" customFormat="false" ht="15.75" hidden="false" customHeight="true" outlineLevel="0" collapsed="false">
      <c r="A353" s="9" t="n">
        <v>350</v>
      </c>
      <c r="B353" s="9" t="s">
        <v>44</v>
      </c>
      <c r="C353" s="10" t="str">
        <f aca="false">VLOOKUP($B353,DM_NHAN_VIEN!$B$4:$F$18,2,FALSE())</f>
        <v>Đỗ Thị Hà</v>
      </c>
      <c r="D353" s="9" t="str">
        <f aca="false">VLOOKUP($B353,DM_NHAN_VIEN!$B$4:$F$18,3,FALSE())</f>
        <v>Hành chính</v>
      </c>
      <c r="E353" s="9" t="str">
        <f aca="false">VLOOKUP($B353,DM_NHAN_VIEN!$B$4:$F$18,4,FALSE())</f>
        <v>Trưởng phòng</v>
      </c>
      <c r="F353" s="18" t="n">
        <v>46200</v>
      </c>
      <c r="G353" s="9" t="str">
        <f aca="false">CHOOSE(WEEKDAY(F353,2),"Thứ Hai","Thứ Ba","Thứ Tư","Thứ Năm","Thứ Sáu","Thứ Bảy","Chủ Nhật")</f>
        <v>Thứ Bảy</v>
      </c>
      <c r="H353" s="9" t="str">
        <f aca="false">VLOOKUP($B353,DM_NHAN_VIEN!$B$4:$F$18,5,FALSE())</f>
        <v>Ca Hành Chính</v>
      </c>
      <c r="I353" s="9" t="str">
        <f aca="false">VLOOKUP($H353,DM_CA_LAM!$A$4:$C$6,2,FALSE())</f>
        <v>07:30</v>
      </c>
      <c r="J353" s="9" t="str">
        <f aca="false">VLOOKUP($H353,DM_CA_LAM!$A$4:$C$6,3,FALSE())</f>
        <v>17:30</v>
      </c>
      <c r="K353" s="9" t="s">
        <v>92</v>
      </c>
      <c r="L353" s="9" t="s">
        <v>166</v>
      </c>
      <c r="M353" s="9" t="n">
        <f aca="false">IF($K353="","",MAX(0,ROUND((TIMEVALUE($K353)-TIMEVALUE($I353))*1440,0)))</f>
        <v>0</v>
      </c>
      <c r="N353" s="9" t="n">
        <f aca="false">IF($L353="","",MAX(0,ROUND((TIMEVALUE($J353)-TIMEVALUE($L353))*1440,0)))</f>
        <v>0</v>
      </c>
      <c r="O353" s="9" t="n">
        <f aca="false">IF(OR($K353="",$L353=""),0,ROUND(VLOOKUP($H353,DM_CA_LAM!$A$4:$F$6,6,FALSE())-$M353/60-$N353/60,2))</f>
        <v>8</v>
      </c>
      <c r="P353" s="9" t="s">
        <v>108</v>
      </c>
      <c r="Q353" s="9" t="n">
        <v>0</v>
      </c>
      <c r="R353" s="10"/>
      <c r="S353" s="10"/>
      <c r="T353" s="9" t="str">
        <f aca="false">$B353&amp;"_"&amp;TEXT($F353,"yyyymmdd")</f>
        <v>NV006_20260627</v>
      </c>
      <c r="U353" s="9" t="str">
        <f aca="false">VLOOKUP($P353,DM_TRANG_THAI!$A$4:$B$9,2,FALSE())</f>
        <v>P</v>
      </c>
    </row>
    <row r="354" customFormat="false" ht="15.75" hidden="false" customHeight="true" outlineLevel="0" collapsed="false">
      <c r="A354" s="9" t="n">
        <v>351</v>
      </c>
      <c r="B354" s="9" t="s">
        <v>47</v>
      </c>
      <c r="C354" s="10" t="str">
        <f aca="false">VLOOKUP($B354,DM_NHAN_VIEN!$B$4:$F$18,2,FALSE())</f>
        <v>Ngô Văn Tài</v>
      </c>
      <c r="D354" s="9" t="str">
        <f aca="false">VLOOKUP($B354,DM_NHAN_VIEN!$B$4:$F$18,3,FALSE())</f>
        <v>Hành chính</v>
      </c>
      <c r="E354" s="9" t="str">
        <f aca="false">VLOOKUP($B354,DM_NHAN_VIEN!$B$4:$F$18,4,FALSE())</f>
        <v>Phó phòng</v>
      </c>
      <c r="F354" s="18" t="n">
        <v>46200</v>
      </c>
      <c r="G354" s="9" t="str">
        <f aca="false">CHOOSE(WEEKDAY(F354,2),"Thứ Hai","Thứ Ba","Thứ Tư","Thứ Năm","Thứ Sáu","Thứ Bảy","Chủ Nhật")</f>
        <v>Thứ Bảy</v>
      </c>
      <c r="H354" s="9" t="str">
        <f aca="false">VLOOKUP($B354,DM_NHAN_VIEN!$B$4:$F$18,5,FALSE())</f>
        <v>Ca Hành Chính</v>
      </c>
      <c r="I354" s="9" t="str">
        <f aca="false">VLOOKUP($H354,DM_CA_LAM!$A$4:$C$6,2,FALSE())</f>
        <v>07:30</v>
      </c>
      <c r="J354" s="9" t="str">
        <f aca="false">VLOOKUP($H354,DM_CA_LAM!$A$4:$C$6,3,FALSE())</f>
        <v>17:30</v>
      </c>
      <c r="K354" s="9" t="s">
        <v>158</v>
      </c>
      <c r="L354" s="9" t="s">
        <v>162</v>
      </c>
      <c r="M354" s="9" t="n">
        <f aca="false">IF($K354="","",MAX(0,ROUND((TIMEVALUE($K354)-TIMEVALUE($I354))*1440,0)))</f>
        <v>0</v>
      </c>
      <c r="N354" s="9" t="n">
        <f aca="false">IF($L354="","",MAX(0,ROUND((TIMEVALUE($J354)-TIMEVALUE($L354))*1440,0)))</f>
        <v>0</v>
      </c>
      <c r="O354" s="9" t="n">
        <f aca="false">IF(OR($K354="",$L354=""),0,ROUND(VLOOKUP($H354,DM_CA_LAM!$A$4:$F$6,6,FALSE())-$M354/60-$N354/60,2))</f>
        <v>8</v>
      </c>
      <c r="P354" s="9" t="s">
        <v>108</v>
      </c>
      <c r="Q354" s="9" t="n">
        <v>0</v>
      </c>
      <c r="R354" s="10"/>
      <c r="S354" s="10"/>
      <c r="T354" s="9" t="str">
        <f aca="false">$B354&amp;"_"&amp;TEXT($F354,"yyyymmdd")</f>
        <v>NV007_20260627</v>
      </c>
      <c r="U354" s="9" t="str">
        <f aca="false">VLOOKUP($P354,DM_TRANG_THAI!$A$4:$B$9,2,FALSE())</f>
        <v>P</v>
      </c>
    </row>
    <row r="355" customFormat="false" ht="15.75" hidden="false" customHeight="true" outlineLevel="0" collapsed="false">
      <c r="A355" s="9" t="n">
        <v>352</v>
      </c>
      <c r="B355" s="9" t="s">
        <v>51</v>
      </c>
      <c r="C355" s="10" t="str">
        <f aca="false">VLOOKUP($B355,DM_NHAN_VIEN!$B$4:$F$18,2,FALSE())</f>
        <v>Vũ Thị Nga</v>
      </c>
      <c r="D355" s="9" t="str">
        <f aca="false">VLOOKUP($B355,DM_NHAN_VIEN!$B$4:$F$18,3,FALSE())</f>
        <v>Hành chính</v>
      </c>
      <c r="E355" s="9" t="str">
        <f aca="false">VLOOKUP($B355,DM_NHAN_VIEN!$B$4:$F$18,4,FALSE())</f>
        <v>Chuyên viên</v>
      </c>
      <c r="F355" s="18" t="n">
        <v>46200</v>
      </c>
      <c r="G355" s="9" t="str">
        <f aca="false">CHOOSE(WEEKDAY(F355,2),"Thứ Hai","Thứ Ba","Thứ Tư","Thứ Năm","Thứ Sáu","Thứ Bảy","Chủ Nhật")</f>
        <v>Thứ Bảy</v>
      </c>
      <c r="H355" s="9" t="str">
        <f aca="false">VLOOKUP($B355,DM_NHAN_VIEN!$B$4:$F$18,5,FALSE())</f>
        <v>Ca Hành Chính</v>
      </c>
      <c r="I355" s="9" t="str">
        <f aca="false">VLOOKUP($H355,DM_CA_LAM!$A$4:$C$6,2,FALSE())</f>
        <v>07:30</v>
      </c>
      <c r="J355" s="9" t="str">
        <f aca="false">VLOOKUP($H355,DM_CA_LAM!$A$4:$C$6,3,FALSE())</f>
        <v>17:30</v>
      </c>
      <c r="K355" s="9"/>
      <c r="L355" s="9"/>
      <c r="M355" s="9" t="str">
        <f aca="false">IF($K355="","",MAX(0,ROUND((TIMEVALUE($K355)-TIMEVALUE($I355))*1440,0)))</f>
        <v/>
      </c>
      <c r="N355" s="9" t="str">
        <f aca="false">IF($L355="","",MAX(0,ROUND((TIMEVALUE($J355)-TIMEVALUE($L355))*1440,0)))</f>
        <v/>
      </c>
      <c r="O355" s="9" t="n">
        <f aca="false">IF(OR($K355="",$L355=""),0,ROUND(VLOOKUP($H355,DM_CA_LAM!$A$4:$F$6,6,FALSE())-$M355/60-$N355/60,2))</f>
        <v>0</v>
      </c>
      <c r="P355" s="9" t="s">
        <v>117</v>
      </c>
      <c r="Q355" s="9" t="n">
        <v>0</v>
      </c>
      <c r="R355" s="10"/>
      <c r="S355" s="10"/>
      <c r="T355" s="9" t="str">
        <f aca="false">$B355&amp;"_"&amp;TEXT($F355,"yyyymmdd")</f>
        <v>NV008_20260627</v>
      </c>
      <c r="U355" s="9" t="str">
        <f aca="false">VLOOKUP($P355,DM_TRANG_THAI!$A$4:$B$9,2,FALSE())</f>
        <v>NP</v>
      </c>
    </row>
    <row r="356" customFormat="false" ht="15.75" hidden="false" customHeight="true" outlineLevel="0" collapsed="false">
      <c r="A356" s="9" t="n">
        <v>353</v>
      </c>
      <c r="B356" s="9" t="s">
        <v>55</v>
      </c>
      <c r="C356" s="10" t="str">
        <f aca="false">VLOOKUP($B356,DM_NHAN_VIEN!$B$4:$F$18,2,FALSE())</f>
        <v>Đặng Thị Hồng</v>
      </c>
      <c r="D356" s="9" t="str">
        <f aca="false">VLOOKUP($B356,DM_NHAN_VIEN!$B$4:$F$18,3,FALSE())</f>
        <v>Nhân sự</v>
      </c>
      <c r="E356" s="9" t="str">
        <f aca="false">VLOOKUP($B356,DM_NHAN_VIEN!$B$4:$F$18,4,FALSE())</f>
        <v>Chuyên viên</v>
      </c>
      <c r="F356" s="18" t="n">
        <v>46200</v>
      </c>
      <c r="G356" s="9" t="str">
        <f aca="false">CHOOSE(WEEKDAY(F356,2),"Thứ Hai","Thứ Ba","Thứ Tư","Thứ Năm","Thứ Sáu","Thứ Bảy","Chủ Nhật")</f>
        <v>Thứ Bảy</v>
      </c>
      <c r="H356" s="9" t="str">
        <f aca="false">VLOOKUP($B356,DM_NHAN_VIEN!$B$4:$F$18,5,FALSE())</f>
        <v>Ca Hành Chính</v>
      </c>
      <c r="I356" s="9" t="str">
        <f aca="false">VLOOKUP($H356,DM_CA_LAM!$A$4:$C$6,2,FALSE())</f>
        <v>07:30</v>
      </c>
      <c r="J356" s="9" t="str">
        <f aca="false">VLOOKUP($H356,DM_CA_LAM!$A$4:$C$6,3,FALSE())</f>
        <v>17:30</v>
      </c>
      <c r="K356" s="9" t="s">
        <v>167</v>
      </c>
      <c r="L356" s="9" t="s">
        <v>159</v>
      </c>
      <c r="M356" s="9" t="n">
        <f aca="false">IF($K356="","",MAX(0,ROUND((TIMEVALUE($K356)-TIMEVALUE($I356))*1440,0)))</f>
        <v>0</v>
      </c>
      <c r="N356" s="9" t="n">
        <f aca="false">IF($L356="","",MAX(0,ROUND((TIMEVALUE($J356)-TIMEVALUE($L356))*1440,0)))</f>
        <v>0</v>
      </c>
      <c r="O356" s="9" t="n">
        <f aca="false">IF(OR($K356="",$L356=""),0,ROUND(VLOOKUP($H356,DM_CA_LAM!$A$4:$F$6,6,FALSE())-$M356/60-$N356/60,2))</f>
        <v>8</v>
      </c>
      <c r="P356" s="9" t="s">
        <v>108</v>
      </c>
      <c r="Q356" s="9" t="n">
        <v>0</v>
      </c>
      <c r="R356" s="10"/>
      <c r="S356" s="10"/>
      <c r="T356" s="9" t="str">
        <f aca="false">$B356&amp;"_"&amp;TEXT($F356,"yyyymmdd")</f>
        <v>NV010_20260627</v>
      </c>
      <c r="U356" s="9" t="str">
        <f aca="false">VLOOKUP($P356,DM_TRANG_THAI!$A$4:$B$9,2,FALSE())</f>
        <v>P</v>
      </c>
    </row>
    <row r="357" customFormat="false" ht="15.75" hidden="false" customHeight="true" outlineLevel="0" collapsed="false">
      <c r="A357" s="9" t="n">
        <v>354</v>
      </c>
      <c r="B357" s="9" t="s">
        <v>58</v>
      </c>
      <c r="C357" s="10" t="str">
        <f aca="false">VLOOKUP($B357,DM_NHAN_VIEN!$B$4:$F$18,2,FALSE())</f>
        <v>Chu Văn Minh</v>
      </c>
      <c r="D357" s="9" t="str">
        <f aca="false">VLOOKUP($B357,DM_NHAN_VIEN!$B$4:$F$18,3,FALSE())</f>
        <v>Nhân sự</v>
      </c>
      <c r="E357" s="9" t="str">
        <f aca="false">VLOOKUP($B357,DM_NHAN_VIEN!$B$4:$F$18,4,FALSE())</f>
        <v>Chuyên viên</v>
      </c>
      <c r="F357" s="18" t="n">
        <v>46200</v>
      </c>
      <c r="G357" s="9" t="str">
        <f aca="false">CHOOSE(WEEKDAY(F357,2),"Thứ Hai","Thứ Ba","Thứ Tư","Thứ Năm","Thứ Sáu","Thứ Bảy","Chủ Nhật")</f>
        <v>Thứ Bảy</v>
      </c>
      <c r="H357" s="9" t="str">
        <f aca="false">VLOOKUP($B357,DM_NHAN_VIEN!$B$4:$F$18,5,FALSE())</f>
        <v>Ca Hành Chính</v>
      </c>
      <c r="I357" s="9" t="str">
        <f aca="false">VLOOKUP($H357,DM_CA_LAM!$A$4:$C$6,2,FALSE())</f>
        <v>07:30</v>
      </c>
      <c r="J357" s="9" t="str">
        <f aca="false">VLOOKUP($H357,DM_CA_LAM!$A$4:$C$6,3,FALSE())</f>
        <v>17:30</v>
      </c>
      <c r="K357" s="9" t="s">
        <v>199</v>
      </c>
      <c r="L357" s="9" t="s">
        <v>164</v>
      </c>
      <c r="M357" s="9" t="n">
        <f aca="false">IF($K357="","",MAX(0,ROUND((TIMEVALUE($K357)-TIMEVALUE($I357))*1440,0)))</f>
        <v>19</v>
      </c>
      <c r="N357" s="9" t="n">
        <f aca="false">IF($L357="","",MAX(0,ROUND((TIMEVALUE($J357)-TIMEVALUE($L357))*1440,0)))</f>
        <v>0</v>
      </c>
      <c r="O357" s="9" t="n">
        <f aca="false">IF(OR($K357="",$L357=""),0,ROUND(VLOOKUP($H357,DM_CA_LAM!$A$4:$F$6,6,FALSE())-$M357/60-$N357/60,2))</f>
        <v>7.68</v>
      </c>
      <c r="P357" s="9" t="s">
        <v>111</v>
      </c>
      <c r="Q357" s="9" t="n">
        <v>1.5</v>
      </c>
      <c r="R357" s="10" t="s">
        <v>179</v>
      </c>
      <c r="S357" s="10"/>
      <c r="T357" s="9" t="str">
        <f aca="false">$B357&amp;"_"&amp;TEXT($F357,"yyyymmdd")</f>
        <v>NV011_20260627</v>
      </c>
      <c r="U357" s="9" t="str">
        <f aca="false">VLOOKUP($P357,DM_TRANG_THAI!$A$4:$B$9,2,FALSE())</f>
        <v>L</v>
      </c>
    </row>
    <row r="358" customFormat="false" ht="15.75" hidden="false" customHeight="true" outlineLevel="0" collapsed="false">
      <c r="A358" s="9" t="n">
        <v>355</v>
      </c>
      <c r="B358" s="9" t="s">
        <v>61</v>
      </c>
      <c r="C358" s="10" t="str">
        <f aca="false">VLOOKUP($B358,DM_NHAN_VIEN!$B$4:$F$18,2,FALSE())</f>
        <v>Phan Thị Khánh</v>
      </c>
      <c r="D358" s="9" t="str">
        <f aca="false">VLOOKUP($B358,DM_NHAN_VIEN!$B$4:$F$18,3,FALSE())</f>
        <v>Kế toán</v>
      </c>
      <c r="E358" s="9" t="str">
        <f aca="false">VLOOKUP($B358,DM_NHAN_VIEN!$B$4:$F$18,4,FALSE())</f>
        <v>Trưởng phòng</v>
      </c>
      <c r="F358" s="18" t="n">
        <v>46200</v>
      </c>
      <c r="G358" s="9" t="str">
        <f aca="false">CHOOSE(WEEKDAY(F358,2),"Thứ Hai","Thứ Ba","Thứ Tư","Thứ Năm","Thứ Sáu","Thứ Bảy","Chủ Nhật")</f>
        <v>Thứ Bảy</v>
      </c>
      <c r="H358" s="9" t="str">
        <f aca="false">VLOOKUP($B358,DM_NHAN_VIEN!$B$4:$F$18,5,FALSE())</f>
        <v>Ca Hành Chính</v>
      </c>
      <c r="I358" s="9" t="str">
        <f aca="false">VLOOKUP($H358,DM_CA_LAM!$A$4:$C$6,2,FALSE())</f>
        <v>07:30</v>
      </c>
      <c r="J358" s="9" t="str">
        <f aca="false">VLOOKUP($H358,DM_CA_LAM!$A$4:$C$6,3,FALSE())</f>
        <v>17:30</v>
      </c>
      <c r="K358" s="9" t="s">
        <v>168</v>
      </c>
      <c r="L358" s="9" t="s">
        <v>143</v>
      </c>
      <c r="M358" s="9" t="n">
        <f aca="false">IF($K358="","",MAX(0,ROUND((TIMEVALUE($K358)-TIMEVALUE($I358))*1440,0)))</f>
        <v>16</v>
      </c>
      <c r="N358" s="9" t="n">
        <f aca="false">IF($L358="","",MAX(0,ROUND((TIMEVALUE($J358)-TIMEVALUE($L358))*1440,0)))</f>
        <v>0</v>
      </c>
      <c r="O358" s="9" t="n">
        <f aca="false">IF(OR($K358="",$L358=""),0,ROUND(VLOOKUP($H358,DM_CA_LAM!$A$4:$F$6,6,FALSE())-$M358/60-$N358/60,2))</f>
        <v>7.73</v>
      </c>
      <c r="P358" s="9" t="s">
        <v>111</v>
      </c>
      <c r="Q358" s="9" t="n">
        <v>0</v>
      </c>
      <c r="R358" s="10"/>
      <c r="S358" s="10" t="s">
        <v>172</v>
      </c>
      <c r="T358" s="9" t="str">
        <f aca="false">$B358&amp;"_"&amp;TEXT($F358,"yyyymmdd")</f>
        <v>NV014_20260627</v>
      </c>
      <c r="U358" s="9" t="str">
        <f aca="false">VLOOKUP($P358,DM_TRANG_THAI!$A$4:$B$9,2,FALSE())</f>
        <v>L</v>
      </c>
    </row>
    <row r="359" customFormat="false" ht="15.75" hidden="false" customHeight="true" outlineLevel="0" collapsed="false">
      <c r="A359" s="9" t="n">
        <v>356</v>
      </c>
      <c r="B359" s="9" t="s">
        <v>65</v>
      </c>
      <c r="C359" s="10" t="str">
        <f aca="false">VLOOKUP($B359,DM_NHAN_VIEN!$B$4:$F$18,2,FALSE())</f>
        <v>Trịnh Văn Hùng</v>
      </c>
      <c r="D359" s="9" t="str">
        <f aca="false">VLOOKUP($B359,DM_NHAN_VIEN!$B$4:$F$18,3,FALSE())</f>
        <v>Kế toán</v>
      </c>
      <c r="E359" s="9" t="str">
        <f aca="false">VLOOKUP($B359,DM_NHAN_VIEN!$B$4:$F$18,4,FALSE())</f>
        <v>Phó phòng</v>
      </c>
      <c r="F359" s="18" t="n">
        <v>46200</v>
      </c>
      <c r="G359" s="9" t="str">
        <f aca="false">CHOOSE(WEEKDAY(F359,2),"Thứ Hai","Thứ Ba","Thứ Tư","Thứ Năm","Thứ Sáu","Thứ Bảy","Chủ Nhật")</f>
        <v>Thứ Bảy</v>
      </c>
      <c r="H359" s="9" t="str">
        <f aca="false">VLOOKUP($B359,DM_NHAN_VIEN!$B$4:$F$18,5,FALSE())</f>
        <v>Ca Hành Chính</v>
      </c>
      <c r="I359" s="9" t="str">
        <f aca="false">VLOOKUP($H359,DM_CA_LAM!$A$4:$C$6,2,FALSE())</f>
        <v>07:30</v>
      </c>
      <c r="J359" s="9" t="str">
        <f aca="false">VLOOKUP($H359,DM_CA_LAM!$A$4:$C$6,3,FALSE())</f>
        <v>17:30</v>
      </c>
      <c r="K359" s="9"/>
      <c r="L359" s="9"/>
      <c r="M359" s="9" t="str">
        <f aca="false">IF($K359="","",MAX(0,ROUND((TIMEVALUE($K359)-TIMEVALUE($I359))*1440,0)))</f>
        <v/>
      </c>
      <c r="N359" s="9" t="str">
        <f aca="false">IF($L359="","",MAX(0,ROUND((TIMEVALUE($J359)-TIMEVALUE($L359))*1440,0)))</f>
        <v/>
      </c>
      <c r="O359" s="9" t="n">
        <f aca="false">IF(OR($K359="",$L359=""),0,ROUND(VLOOKUP($H359,DM_CA_LAM!$A$4:$F$6,6,FALSE())-$M359/60-$N359/60,2))</f>
        <v>0</v>
      </c>
      <c r="P359" s="9" t="s">
        <v>120</v>
      </c>
      <c r="Q359" s="9" t="n">
        <v>0</v>
      </c>
      <c r="R359" s="10"/>
      <c r="S359" s="10"/>
      <c r="T359" s="9" t="str">
        <f aca="false">$B359&amp;"_"&amp;TEXT($F359,"yyyymmdd")</f>
        <v>NV015_20260627</v>
      </c>
      <c r="U359" s="9" t="str">
        <f aca="false">VLOOKUP($P359,DM_TRANG_THAI!$A$4:$B$9,2,FALSE())</f>
        <v>KL</v>
      </c>
    </row>
    <row r="360" customFormat="false" ht="15.75" hidden="false" customHeight="true" outlineLevel="0" collapsed="false">
      <c r="A360" s="9" t="n">
        <v>357</v>
      </c>
      <c r="B360" s="9" t="s">
        <v>68</v>
      </c>
      <c r="C360" s="10" t="str">
        <f aca="false">VLOOKUP($B360,DM_NHAN_VIEN!$B$4:$F$18,2,FALSE())</f>
        <v>Hoàng Văn Lộc</v>
      </c>
      <c r="D360" s="9" t="str">
        <f aca="false">VLOOKUP($B360,DM_NHAN_VIEN!$B$4:$F$18,3,FALSE())</f>
        <v>Kinh doanh</v>
      </c>
      <c r="E360" s="9" t="str">
        <f aca="false">VLOOKUP($B360,DM_NHAN_VIEN!$B$4:$F$18,4,FALSE())</f>
        <v>Trưởng phòng</v>
      </c>
      <c r="F360" s="18" t="n">
        <v>46200</v>
      </c>
      <c r="G360" s="9" t="str">
        <f aca="false">CHOOSE(WEEKDAY(F360,2),"Thứ Hai","Thứ Ba","Thứ Tư","Thứ Năm","Thứ Sáu","Thứ Bảy","Chủ Nhật")</f>
        <v>Thứ Bảy</v>
      </c>
      <c r="H360" s="9" t="str">
        <f aca="false">VLOOKUP($B360,DM_NHAN_VIEN!$B$4:$F$18,5,FALSE())</f>
        <v>Ca Hành Chính</v>
      </c>
      <c r="I360" s="9" t="str">
        <f aca="false">VLOOKUP($H360,DM_CA_LAM!$A$4:$C$6,2,FALSE())</f>
        <v>07:30</v>
      </c>
      <c r="J360" s="9" t="str">
        <f aca="false">VLOOKUP($H360,DM_CA_LAM!$A$4:$C$6,3,FALSE())</f>
        <v>17:30</v>
      </c>
      <c r="K360" s="9" t="s">
        <v>161</v>
      </c>
      <c r="L360" s="9" t="s">
        <v>146</v>
      </c>
      <c r="M360" s="9" t="n">
        <f aca="false">IF($K360="","",MAX(0,ROUND((TIMEVALUE($K360)-TIMEVALUE($I360))*1440,0)))</f>
        <v>0</v>
      </c>
      <c r="N360" s="9" t="n">
        <f aca="false">IF($L360="","",MAX(0,ROUND((TIMEVALUE($J360)-TIMEVALUE($L360))*1440,0)))</f>
        <v>0</v>
      </c>
      <c r="O360" s="9" t="n">
        <f aca="false">IF(OR($K360="",$L360=""),0,ROUND(VLOOKUP($H360,DM_CA_LAM!$A$4:$F$6,6,FALSE())-$M360/60-$N360/60,2))</f>
        <v>8</v>
      </c>
      <c r="P360" s="9" t="s">
        <v>108</v>
      </c>
      <c r="Q360" s="9" t="n">
        <v>0</v>
      </c>
      <c r="R360" s="10"/>
      <c r="S360" s="10"/>
      <c r="T360" s="9" t="str">
        <f aca="false">$B360&amp;"_"&amp;TEXT($F360,"yyyymmdd")</f>
        <v>NV019_20260627</v>
      </c>
      <c r="U360" s="9" t="str">
        <f aca="false">VLOOKUP($P360,DM_TRANG_THAI!$A$4:$B$9,2,FALSE())</f>
        <v>P</v>
      </c>
    </row>
    <row r="361" customFormat="false" ht="15.75" hidden="false" customHeight="true" outlineLevel="0" collapsed="false">
      <c r="A361" s="9" t="n">
        <v>358</v>
      </c>
      <c r="B361" s="9" t="s">
        <v>72</v>
      </c>
      <c r="C361" s="10" t="str">
        <f aca="false">VLOOKUP($B361,DM_NHAN_VIEN!$B$4:$F$18,2,FALSE())</f>
        <v>Nguyễn Văn Phú</v>
      </c>
      <c r="D361" s="9" t="str">
        <f aca="false">VLOOKUP($B361,DM_NHAN_VIEN!$B$4:$F$18,3,FALSE())</f>
        <v>Kinh doanh</v>
      </c>
      <c r="E361" s="9" t="str">
        <f aca="false">VLOOKUP($B361,DM_NHAN_VIEN!$B$4:$F$18,4,FALSE())</f>
        <v>Nhân viên</v>
      </c>
      <c r="F361" s="18" t="n">
        <v>46200</v>
      </c>
      <c r="G361" s="9" t="str">
        <f aca="false">CHOOSE(WEEKDAY(F361,2),"Thứ Hai","Thứ Ba","Thứ Tư","Thứ Năm","Thứ Sáu","Thứ Bảy","Chủ Nhật")</f>
        <v>Thứ Bảy</v>
      </c>
      <c r="H361" s="9" t="str">
        <f aca="false">VLOOKUP($B361,DM_NHAN_VIEN!$B$4:$F$18,5,FALSE())</f>
        <v>Ca Hành Chính</v>
      </c>
      <c r="I361" s="9" t="str">
        <f aca="false">VLOOKUP($H361,DM_CA_LAM!$A$4:$C$6,2,FALSE())</f>
        <v>07:30</v>
      </c>
      <c r="J361" s="9" t="str">
        <f aca="false">VLOOKUP($H361,DM_CA_LAM!$A$4:$C$6,3,FALSE())</f>
        <v>17:30</v>
      </c>
      <c r="K361" s="9" t="s">
        <v>150</v>
      </c>
      <c r="L361" s="9" t="s">
        <v>170</v>
      </c>
      <c r="M361" s="9" t="n">
        <f aca="false">IF($K361="","",MAX(0,ROUND((TIMEVALUE($K361)-TIMEVALUE($I361))*1440,0)))</f>
        <v>0</v>
      </c>
      <c r="N361" s="9" t="n">
        <f aca="false">IF($L361="","",MAX(0,ROUND((TIMEVALUE($J361)-TIMEVALUE($L361))*1440,0)))</f>
        <v>0</v>
      </c>
      <c r="O361" s="9" t="n">
        <f aca="false">IF(OR($K361="",$L361=""),0,ROUND(VLOOKUP($H361,DM_CA_LAM!$A$4:$F$6,6,FALSE())-$M361/60-$N361/60,2))</f>
        <v>8</v>
      </c>
      <c r="P361" s="9" t="s">
        <v>108</v>
      </c>
      <c r="Q361" s="9" t="n">
        <v>2.5</v>
      </c>
      <c r="R361" s="10" t="s">
        <v>151</v>
      </c>
      <c r="S361" s="10"/>
      <c r="T361" s="9" t="str">
        <f aca="false">$B361&amp;"_"&amp;TEXT($F361,"yyyymmdd")</f>
        <v>NV021_20260627</v>
      </c>
      <c r="U361" s="9" t="str">
        <f aca="false">VLOOKUP($P361,DM_TRANG_THAI!$A$4:$B$9,2,FALSE())</f>
        <v>P</v>
      </c>
    </row>
    <row r="362" customFormat="false" ht="15.75" hidden="false" customHeight="true" outlineLevel="0" collapsed="false">
      <c r="A362" s="9" t="n">
        <v>359</v>
      </c>
      <c r="B362" s="9" t="s">
        <v>76</v>
      </c>
      <c r="C362" s="10" t="str">
        <f aca="false">VLOOKUP($B362,DM_NHAN_VIEN!$B$4:$F$18,2,FALSE())</f>
        <v>Lý Văn Dũng</v>
      </c>
      <c r="D362" s="9" t="str">
        <f aca="false">VLOOKUP($B362,DM_NHAN_VIEN!$B$4:$F$18,3,FALSE())</f>
        <v>Xưởng sản xuất</v>
      </c>
      <c r="E362" s="9" t="str">
        <f aca="false">VLOOKUP($B362,DM_NHAN_VIEN!$B$4:$F$18,4,FALSE())</f>
        <v>Tổ trưởng</v>
      </c>
      <c r="F362" s="18" t="n">
        <v>46200</v>
      </c>
      <c r="G362" s="9" t="str">
        <f aca="false">CHOOSE(WEEKDAY(F362,2),"Thứ Hai","Thứ Ba","Thứ Tư","Thứ Năm","Thứ Sáu","Thứ Bảy","Chủ Nhật")</f>
        <v>Thứ Bảy</v>
      </c>
      <c r="H362" s="9" t="str">
        <f aca="false">VLOOKUP($B362,DM_NHAN_VIEN!$B$4:$F$18,5,FALSE())</f>
        <v>Ca Hành Chính</v>
      </c>
      <c r="I362" s="9" t="str">
        <f aca="false">VLOOKUP($H362,DM_CA_LAM!$A$4:$C$6,2,FALSE())</f>
        <v>07:30</v>
      </c>
      <c r="J362" s="9" t="str">
        <f aca="false">VLOOKUP($H362,DM_CA_LAM!$A$4:$C$6,3,FALSE())</f>
        <v>17:30</v>
      </c>
      <c r="K362" s="9" t="s">
        <v>167</v>
      </c>
      <c r="L362" s="9" t="s">
        <v>149</v>
      </c>
      <c r="M362" s="9" t="n">
        <f aca="false">IF($K362="","",MAX(0,ROUND((TIMEVALUE($K362)-TIMEVALUE($I362))*1440,0)))</f>
        <v>0</v>
      </c>
      <c r="N362" s="9" t="n">
        <f aca="false">IF($L362="","",MAX(0,ROUND((TIMEVALUE($J362)-TIMEVALUE($L362))*1440,0)))</f>
        <v>0</v>
      </c>
      <c r="O362" s="9" t="n">
        <f aca="false">IF(OR($K362="",$L362=""),0,ROUND(VLOOKUP($H362,DM_CA_LAM!$A$4:$F$6,6,FALSE())-$M362/60-$N362/60,2))</f>
        <v>8</v>
      </c>
      <c r="P362" s="9" t="s">
        <v>108</v>
      </c>
      <c r="Q362" s="9" t="n">
        <v>0</v>
      </c>
      <c r="R362" s="10"/>
      <c r="S362" s="10"/>
      <c r="T362" s="9" t="str">
        <f aca="false">$B362&amp;"_"&amp;TEXT($F362,"yyyymmdd")</f>
        <v>NV029_20260627</v>
      </c>
      <c r="U362" s="9" t="str">
        <f aca="false">VLOOKUP($P362,DM_TRANG_THAI!$A$4:$B$9,2,FALSE())</f>
        <v>P</v>
      </c>
    </row>
    <row r="363" customFormat="false" ht="15.75" hidden="false" customHeight="true" outlineLevel="0" collapsed="false">
      <c r="A363" s="9" t="n">
        <v>360</v>
      </c>
      <c r="B363" s="9" t="s">
        <v>80</v>
      </c>
      <c r="C363" s="10" t="str">
        <f aca="false">VLOOKUP($B363,DM_NHAN_VIEN!$B$4:$F$18,2,FALSE())</f>
        <v>Tống Văn Thắng</v>
      </c>
      <c r="D363" s="9" t="str">
        <f aca="false">VLOOKUP($B363,DM_NHAN_VIEN!$B$4:$F$18,3,FALSE())</f>
        <v>Xưởng sản xuất</v>
      </c>
      <c r="E363" s="9" t="str">
        <f aca="false">VLOOKUP($B363,DM_NHAN_VIEN!$B$4:$F$18,4,FALSE())</f>
        <v>Tổ trưởng</v>
      </c>
      <c r="F363" s="18" t="n">
        <v>46200</v>
      </c>
      <c r="G363" s="9" t="str">
        <f aca="false">CHOOSE(WEEKDAY(F363,2),"Thứ Hai","Thứ Ba","Thứ Tư","Thứ Năm","Thứ Sáu","Thứ Bảy","Chủ Nhật")</f>
        <v>Thứ Bảy</v>
      </c>
      <c r="H363" s="9" t="str">
        <f aca="false">VLOOKUP($B363,DM_NHAN_VIEN!$B$4:$F$18,5,FALSE())</f>
        <v>Ca Hành Chính</v>
      </c>
      <c r="I363" s="9" t="str">
        <f aca="false">VLOOKUP($H363,DM_CA_LAM!$A$4:$C$6,2,FALSE())</f>
        <v>07:30</v>
      </c>
      <c r="J363" s="9" t="str">
        <f aca="false">VLOOKUP($H363,DM_CA_LAM!$A$4:$C$6,3,FALSE())</f>
        <v>17:30</v>
      </c>
      <c r="K363" s="9" t="s">
        <v>92</v>
      </c>
      <c r="L363" s="9" t="s">
        <v>144</v>
      </c>
      <c r="M363" s="9" t="n">
        <f aca="false">IF($K363="","",MAX(0,ROUND((TIMEVALUE($K363)-TIMEVALUE($I363))*1440,0)))</f>
        <v>0</v>
      </c>
      <c r="N363" s="9" t="n">
        <f aca="false">IF($L363="","",MAX(0,ROUND((TIMEVALUE($J363)-TIMEVALUE($L363))*1440,0)))</f>
        <v>0</v>
      </c>
      <c r="O363" s="9" t="n">
        <f aca="false">IF(OR($K363="",$L363=""),0,ROUND(VLOOKUP($H363,DM_CA_LAM!$A$4:$F$6,6,FALSE())-$M363/60-$N363/60,2))</f>
        <v>8</v>
      </c>
      <c r="P363" s="9" t="s">
        <v>108</v>
      </c>
      <c r="Q363" s="9" t="n">
        <v>0</v>
      </c>
      <c r="R363" s="10"/>
      <c r="S363" s="10"/>
      <c r="T363" s="9" t="str">
        <f aca="false">$B363&amp;"_"&amp;TEXT($F363,"yyyymmdd")</f>
        <v>NV030_20260627</v>
      </c>
      <c r="U363" s="9" t="str">
        <f aca="false">VLOOKUP($P363,DM_TRANG_THAI!$A$4:$B$9,2,FALSE())</f>
        <v>P</v>
      </c>
    </row>
    <row r="364" customFormat="false" ht="15.75" hidden="false" customHeight="true" outlineLevel="0" collapsed="false">
      <c r="A364" s="9" t="n">
        <v>361</v>
      </c>
      <c r="B364" s="9" t="s">
        <v>24</v>
      </c>
      <c r="C364" s="10" t="str">
        <f aca="false">VLOOKUP($B364,DM_NHAN_VIEN!$B$4:$F$18,2,FALSE())</f>
        <v>Nguyễn Văn Giám Đốc</v>
      </c>
      <c r="D364" s="9" t="str">
        <f aca="false">VLOOKUP($B364,DM_NHAN_VIEN!$B$4:$F$18,3,FALSE())</f>
        <v>Hành chính</v>
      </c>
      <c r="E364" s="9" t="str">
        <f aca="false">VLOOKUP($B364,DM_NHAN_VIEN!$B$4:$F$18,4,FALSE())</f>
        <v>Giám đốc</v>
      </c>
      <c r="F364" s="18" t="n">
        <v>46202</v>
      </c>
      <c r="G364" s="9" t="str">
        <f aca="false">CHOOSE(WEEKDAY(F364,2),"Thứ Hai","Thứ Ba","Thứ Tư","Thứ Năm","Thứ Sáu","Thứ Bảy","Chủ Nhật")</f>
        <v>Thứ Hai</v>
      </c>
      <c r="H364" s="9" t="str">
        <f aca="false">VLOOKUP($B364,DM_NHAN_VIEN!$B$4:$F$18,5,FALSE())</f>
        <v>Ca Hành Chính</v>
      </c>
      <c r="I364" s="9" t="str">
        <f aca="false">VLOOKUP($H364,DM_CA_LAM!$A$4:$C$6,2,FALSE())</f>
        <v>07:30</v>
      </c>
      <c r="J364" s="9" t="str">
        <f aca="false">VLOOKUP($H364,DM_CA_LAM!$A$4:$C$6,3,FALSE())</f>
        <v>17:30</v>
      </c>
      <c r="K364" s="9" t="s">
        <v>147</v>
      </c>
      <c r="L364" s="9" t="s">
        <v>163</v>
      </c>
      <c r="M364" s="9" t="n">
        <f aca="false">IF($K364="","",MAX(0,ROUND((TIMEVALUE($K364)-TIMEVALUE($I364))*1440,0)))</f>
        <v>0</v>
      </c>
      <c r="N364" s="9" t="n">
        <f aca="false">IF($L364="","",MAX(0,ROUND((TIMEVALUE($J364)-TIMEVALUE($L364))*1440,0)))</f>
        <v>0</v>
      </c>
      <c r="O364" s="9" t="n">
        <f aca="false">IF(OR($K364="",$L364=""),0,ROUND(VLOOKUP($H364,DM_CA_LAM!$A$4:$F$6,6,FALSE())-$M364/60-$N364/60,2))</f>
        <v>8</v>
      </c>
      <c r="P364" s="9" t="s">
        <v>108</v>
      </c>
      <c r="Q364" s="9" t="n">
        <v>0</v>
      </c>
      <c r="R364" s="10"/>
      <c r="S364" s="10"/>
      <c r="T364" s="9" t="str">
        <f aca="false">$B364&amp;"_"&amp;TEXT($F364,"yyyymmdd")</f>
        <v>NV002_20260629</v>
      </c>
      <c r="U364" s="9" t="str">
        <f aca="false">VLOOKUP($P364,DM_TRANG_THAI!$A$4:$B$9,2,FALSE())</f>
        <v>P</v>
      </c>
    </row>
    <row r="365" customFormat="false" ht="15.75" hidden="false" customHeight="true" outlineLevel="0" collapsed="false">
      <c r="A365" s="9" t="n">
        <v>362</v>
      </c>
      <c r="B365" s="9" t="s">
        <v>30</v>
      </c>
      <c r="C365" s="10" t="str">
        <f aca="false">VLOOKUP($B365,DM_NHAN_VIEN!$B$4:$F$18,2,FALSE())</f>
        <v>Trần Thị Nhân Sự</v>
      </c>
      <c r="D365" s="9" t="str">
        <f aca="false">VLOOKUP($B365,DM_NHAN_VIEN!$B$4:$F$18,3,FALSE())</f>
        <v>Nhân sự</v>
      </c>
      <c r="E365" s="9" t="str">
        <f aca="false">VLOOKUP($B365,DM_NHAN_VIEN!$B$4:$F$18,4,FALSE())</f>
        <v>Trưởng phòng</v>
      </c>
      <c r="F365" s="18" t="n">
        <v>46202</v>
      </c>
      <c r="G365" s="9" t="str">
        <f aca="false">CHOOSE(WEEKDAY(F365,2),"Thứ Hai","Thứ Ba","Thứ Tư","Thứ Năm","Thứ Sáu","Thứ Bảy","Chủ Nhật")</f>
        <v>Thứ Hai</v>
      </c>
      <c r="H365" s="9" t="str">
        <f aca="false">VLOOKUP($B365,DM_NHAN_VIEN!$B$4:$F$18,5,FALSE())</f>
        <v>Ca Hành Chính</v>
      </c>
      <c r="I365" s="9" t="str">
        <f aca="false">VLOOKUP($H365,DM_CA_LAM!$A$4:$C$6,2,FALSE())</f>
        <v>07:30</v>
      </c>
      <c r="J365" s="9" t="str">
        <f aca="false">VLOOKUP($H365,DM_CA_LAM!$A$4:$C$6,3,FALSE())</f>
        <v>17:30</v>
      </c>
      <c r="K365" s="9" t="s">
        <v>167</v>
      </c>
      <c r="L365" s="9" t="s">
        <v>164</v>
      </c>
      <c r="M365" s="9" t="n">
        <f aca="false">IF($K365="","",MAX(0,ROUND((TIMEVALUE($K365)-TIMEVALUE($I365))*1440,0)))</f>
        <v>0</v>
      </c>
      <c r="N365" s="9" t="n">
        <f aca="false">IF($L365="","",MAX(0,ROUND((TIMEVALUE($J365)-TIMEVALUE($L365))*1440,0)))</f>
        <v>0</v>
      </c>
      <c r="O365" s="9" t="n">
        <f aca="false">IF(OR($K365="",$L365=""),0,ROUND(VLOOKUP($H365,DM_CA_LAM!$A$4:$F$6,6,FALSE())-$M365/60-$N365/60,2))</f>
        <v>8</v>
      </c>
      <c r="P365" s="9" t="s">
        <v>108</v>
      </c>
      <c r="Q365" s="9" t="n">
        <v>0</v>
      </c>
      <c r="R365" s="10"/>
      <c r="S365" s="10"/>
      <c r="T365" s="9" t="str">
        <f aca="false">$B365&amp;"_"&amp;TEXT($F365,"yyyymmdd")</f>
        <v>NV003_20260629</v>
      </c>
      <c r="U365" s="9" t="str">
        <f aca="false">VLOOKUP($P365,DM_TRANG_THAI!$A$4:$B$9,2,FALSE())</f>
        <v>P</v>
      </c>
    </row>
    <row r="366" customFormat="false" ht="15.75" hidden="false" customHeight="true" outlineLevel="0" collapsed="false">
      <c r="A366" s="9" t="n">
        <v>363</v>
      </c>
      <c r="B366" s="9" t="s">
        <v>35</v>
      </c>
      <c r="C366" s="10" t="str">
        <f aca="false">VLOOKUP($B366,DM_NHAN_VIEN!$B$4:$F$18,2,FALSE())</f>
        <v>Lê Văn Quản Đốc</v>
      </c>
      <c r="D366" s="9" t="str">
        <f aca="false">VLOOKUP($B366,DM_NHAN_VIEN!$B$4:$F$18,3,FALSE())</f>
        <v>Xưởng sản xuất</v>
      </c>
      <c r="E366" s="9" t="str">
        <f aca="false">VLOOKUP($B366,DM_NHAN_VIEN!$B$4:$F$18,4,FALSE())</f>
        <v>Quản đốc</v>
      </c>
      <c r="F366" s="18" t="n">
        <v>46202</v>
      </c>
      <c r="G366" s="9" t="str">
        <f aca="false">CHOOSE(WEEKDAY(F366,2),"Thứ Hai","Thứ Ba","Thứ Tư","Thứ Năm","Thứ Sáu","Thứ Bảy","Chủ Nhật")</f>
        <v>Thứ Hai</v>
      </c>
      <c r="H366" s="9" t="str">
        <f aca="false">VLOOKUP($B366,DM_NHAN_VIEN!$B$4:$F$18,5,FALSE())</f>
        <v>Ca Hành Chính</v>
      </c>
      <c r="I366" s="9" t="str">
        <f aca="false">VLOOKUP($H366,DM_CA_LAM!$A$4:$C$6,2,FALSE())</f>
        <v>07:30</v>
      </c>
      <c r="J366" s="9" t="str">
        <f aca="false">VLOOKUP($H366,DM_CA_LAM!$A$4:$C$6,3,FALSE())</f>
        <v>17:30</v>
      </c>
      <c r="K366" s="9" t="s">
        <v>158</v>
      </c>
      <c r="L366" s="9" t="s">
        <v>162</v>
      </c>
      <c r="M366" s="9" t="n">
        <f aca="false">IF($K366="","",MAX(0,ROUND((TIMEVALUE($K366)-TIMEVALUE($I366))*1440,0)))</f>
        <v>0</v>
      </c>
      <c r="N366" s="9" t="n">
        <f aca="false">IF($L366="","",MAX(0,ROUND((TIMEVALUE($J366)-TIMEVALUE($L366))*1440,0)))</f>
        <v>0</v>
      </c>
      <c r="O366" s="9" t="n">
        <f aca="false">IF(OR($K366="",$L366=""),0,ROUND(VLOOKUP($H366,DM_CA_LAM!$A$4:$F$6,6,FALSE())-$M366/60-$N366/60,2))</f>
        <v>8</v>
      </c>
      <c r="P366" s="9" t="s">
        <v>108</v>
      </c>
      <c r="Q366" s="9" t="n">
        <v>0</v>
      </c>
      <c r="R366" s="10"/>
      <c r="S366" s="10"/>
      <c r="T366" s="9" t="str">
        <f aca="false">$B366&amp;"_"&amp;TEXT($F366,"yyyymmdd")</f>
        <v>NV004_20260629</v>
      </c>
      <c r="U366" s="9" t="str">
        <f aca="false">VLOOKUP($P366,DM_TRANG_THAI!$A$4:$B$9,2,FALSE())</f>
        <v>P</v>
      </c>
    </row>
    <row r="367" customFormat="false" ht="15.75" hidden="false" customHeight="true" outlineLevel="0" collapsed="false">
      <c r="A367" s="9" t="n">
        <v>364</v>
      </c>
      <c r="B367" s="9" t="s">
        <v>40</v>
      </c>
      <c r="C367" s="10" t="str">
        <f aca="false">VLOOKUP($B367,DM_NHAN_VIEN!$B$4:$F$18,2,FALSE())</f>
        <v>Phạm Công Nhân</v>
      </c>
      <c r="D367" s="9" t="str">
        <f aca="false">VLOOKUP($B367,DM_NHAN_VIEN!$B$4:$F$18,3,FALSE())</f>
        <v>Xưởng sản xuất</v>
      </c>
      <c r="E367" s="9" t="str">
        <f aca="false">VLOOKUP($B367,DM_NHAN_VIEN!$B$4:$F$18,4,FALSE())</f>
        <v>Công nhân</v>
      </c>
      <c r="F367" s="18" t="n">
        <v>46202</v>
      </c>
      <c r="G367" s="9" t="str">
        <f aca="false">CHOOSE(WEEKDAY(F367,2),"Thứ Hai","Thứ Ba","Thứ Tư","Thứ Năm","Thứ Sáu","Thứ Bảy","Chủ Nhật")</f>
        <v>Thứ Hai</v>
      </c>
      <c r="H367" s="9" t="str">
        <f aca="false">VLOOKUP($B367,DM_NHAN_VIEN!$B$4:$F$18,5,FALSE())</f>
        <v>Ca Hành Chính</v>
      </c>
      <c r="I367" s="9" t="str">
        <f aca="false">VLOOKUP($H367,DM_CA_LAM!$A$4:$C$6,2,FALSE())</f>
        <v>07:30</v>
      </c>
      <c r="J367" s="9" t="str">
        <f aca="false">VLOOKUP($H367,DM_CA_LAM!$A$4:$C$6,3,FALSE())</f>
        <v>17:30</v>
      </c>
      <c r="K367" s="9" t="s">
        <v>145</v>
      </c>
      <c r="L367" s="9" t="s">
        <v>144</v>
      </c>
      <c r="M367" s="9" t="n">
        <f aca="false">IF($K367="","",MAX(0,ROUND((TIMEVALUE($K367)-TIMEVALUE($I367))*1440,0)))</f>
        <v>0</v>
      </c>
      <c r="N367" s="9" t="n">
        <f aca="false">IF($L367="","",MAX(0,ROUND((TIMEVALUE($J367)-TIMEVALUE($L367))*1440,0)))</f>
        <v>0</v>
      </c>
      <c r="O367" s="9" t="n">
        <f aca="false">IF(OR($K367="",$L367=""),0,ROUND(VLOOKUP($H367,DM_CA_LAM!$A$4:$F$6,6,FALSE())-$M367/60-$N367/60,2))</f>
        <v>8</v>
      </c>
      <c r="P367" s="9" t="s">
        <v>108</v>
      </c>
      <c r="Q367" s="9" t="n">
        <v>0</v>
      </c>
      <c r="R367" s="10"/>
      <c r="S367" s="10"/>
      <c r="T367" s="9" t="str">
        <f aca="false">$B367&amp;"_"&amp;TEXT($F367,"yyyymmdd")</f>
        <v>NV005_20260629</v>
      </c>
      <c r="U367" s="9" t="str">
        <f aca="false">VLOOKUP($P367,DM_TRANG_THAI!$A$4:$B$9,2,FALSE())</f>
        <v>P</v>
      </c>
    </row>
    <row r="368" customFormat="false" ht="15.75" hidden="false" customHeight="true" outlineLevel="0" collapsed="false">
      <c r="A368" s="9" t="n">
        <v>365</v>
      </c>
      <c r="B368" s="9" t="s">
        <v>44</v>
      </c>
      <c r="C368" s="10" t="str">
        <f aca="false">VLOOKUP($B368,DM_NHAN_VIEN!$B$4:$F$18,2,FALSE())</f>
        <v>Đỗ Thị Hà</v>
      </c>
      <c r="D368" s="9" t="str">
        <f aca="false">VLOOKUP($B368,DM_NHAN_VIEN!$B$4:$F$18,3,FALSE())</f>
        <v>Hành chính</v>
      </c>
      <c r="E368" s="9" t="str">
        <f aca="false">VLOOKUP($B368,DM_NHAN_VIEN!$B$4:$F$18,4,FALSE())</f>
        <v>Trưởng phòng</v>
      </c>
      <c r="F368" s="18" t="n">
        <v>46202</v>
      </c>
      <c r="G368" s="9" t="str">
        <f aca="false">CHOOSE(WEEKDAY(F368,2),"Thứ Hai","Thứ Ba","Thứ Tư","Thứ Năm","Thứ Sáu","Thứ Bảy","Chủ Nhật")</f>
        <v>Thứ Hai</v>
      </c>
      <c r="H368" s="9" t="str">
        <f aca="false">VLOOKUP($B368,DM_NHAN_VIEN!$B$4:$F$18,5,FALSE())</f>
        <v>Ca Hành Chính</v>
      </c>
      <c r="I368" s="9" t="str">
        <f aca="false">VLOOKUP($H368,DM_CA_LAM!$A$4:$C$6,2,FALSE())</f>
        <v>07:30</v>
      </c>
      <c r="J368" s="9" t="str">
        <f aca="false">VLOOKUP($H368,DM_CA_LAM!$A$4:$C$6,3,FALSE())</f>
        <v>17:30</v>
      </c>
      <c r="K368" s="9" t="s">
        <v>161</v>
      </c>
      <c r="L368" s="9" t="s">
        <v>166</v>
      </c>
      <c r="M368" s="9" t="n">
        <f aca="false">IF($K368="","",MAX(0,ROUND((TIMEVALUE($K368)-TIMEVALUE($I368))*1440,0)))</f>
        <v>0</v>
      </c>
      <c r="N368" s="9" t="n">
        <f aca="false">IF($L368="","",MAX(0,ROUND((TIMEVALUE($J368)-TIMEVALUE($L368))*1440,0)))</f>
        <v>0</v>
      </c>
      <c r="O368" s="9" t="n">
        <f aca="false">IF(OR($K368="",$L368=""),0,ROUND(VLOOKUP($H368,DM_CA_LAM!$A$4:$F$6,6,FALSE())-$M368/60-$N368/60,2))</f>
        <v>8</v>
      </c>
      <c r="P368" s="9" t="s">
        <v>108</v>
      </c>
      <c r="Q368" s="9" t="n">
        <v>0</v>
      </c>
      <c r="R368" s="10"/>
      <c r="S368" s="10"/>
      <c r="T368" s="9" t="str">
        <f aca="false">$B368&amp;"_"&amp;TEXT($F368,"yyyymmdd")</f>
        <v>NV006_20260629</v>
      </c>
      <c r="U368" s="9" t="str">
        <f aca="false">VLOOKUP($P368,DM_TRANG_THAI!$A$4:$B$9,2,FALSE())</f>
        <v>P</v>
      </c>
    </row>
    <row r="369" customFormat="false" ht="15.75" hidden="false" customHeight="true" outlineLevel="0" collapsed="false">
      <c r="A369" s="9" t="n">
        <v>366</v>
      </c>
      <c r="B369" s="9" t="s">
        <v>47</v>
      </c>
      <c r="C369" s="10" t="str">
        <f aca="false">VLOOKUP($B369,DM_NHAN_VIEN!$B$4:$F$18,2,FALSE())</f>
        <v>Ngô Văn Tài</v>
      </c>
      <c r="D369" s="9" t="str">
        <f aca="false">VLOOKUP($B369,DM_NHAN_VIEN!$B$4:$F$18,3,FALSE())</f>
        <v>Hành chính</v>
      </c>
      <c r="E369" s="9" t="str">
        <f aca="false">VLOOKUP($B369,DM_NHAN_VIEN!$B$4:$F$18,4,FALSE())</f>
        <v>Phó phòng</v>
      </c>
      <c r="F369" s="18" t="n">
        <v>46202</v>
      </c>
      <c r="G369" s="9" t="str">
        <f aca="false">CHOOSE(WEEKDAY(F369,2),"Thứ Hai","Thứ Ba","Thứ Tư","Thứ Năm","Thứ Sáu","Thứ Bảy","Chủ Nhật")</f>
        <v>Thứ Hai</v>
      </c>
      <c r="H369" s="9" t="str">
        <f aca="false">VLOOKUP($B369,DM_NHAN_VIEN!$B$4:$F$18,5,FALSE())</f>
        <v>Ca Hành Chính</v>
      </c>
      <c r="I369" s="9" t="str">
        <f aca="false">VLOOKUP($H369,DM_CA_LAM!$A$4:$C$6,2,FALSE())</f>
        <v>07:30</v>
      </c>
      <c r="J369" s="9" t="str">
        <f aca="false">VLOOKUP($H369,DM_CA_LAM!$A$4:$C$6,3,FALSE())</f>
        <v>17:30</v>
      </c>
      <c r="K369" s="9" t="s">
        <v>145</v>
      </c>
      <c r="L369" s="9" t="s">
        <v>165</v>
      </c>
      <c r="M369" s="9" t="n">
        <f aca="false">IF($K369="","",MAX(0,ROUND((TIMEVALUE($K369)-TIMEVALUE($I369))*1440,0)))</f>
        <v>0</v>
      </c>
      <c r="N369" s="9" t="n">
        <f aca="false">IF($L369="","",MAX(0,ROUND((TIMEVALUE($J369)-TIMEVALUE($L369))*1440,0)))</f>
        <v>0</v>
      </c>
      <c r="O369" s="9" t="n">
        <f aca="false">IF(OR($K369="",$L369=""),0,ROUND(VLOOKUP($H369,DM_CA_LAM!$A$4:$F$6,6,FALSE())-$M369/60-$N369/60,2))</f>
        <v>8</v>
      </c>
      <c r="P369" s="9" t="s">
        <v>108</v>
      </c>
      <c r="Q369" s="9" t="n">
        <v>2</v>
      </c>
      <c r="R369" s="10" t="s">
        <v>179</v>
      </c>
      <c r="S369" s="10"/>
      <c r="T369" s="9" t="str">
        <f aca="false">$B369&amp;"_"&amp;TEXT($F369,"yyyymmdd")</f>
        <v>NV007_20260629</v>
      </c>
      <c r="U369" s="9" t="str">
        <f aca="false">VLOOKUP($P369,DM_TRANG_THAI!$A$4:$B$9,2,FALSE())</f>
        <v>P</v>
      </c>
    </row>
    <row r="370" customFormat="false" ht="15.75" hidden="false" customHeight="true" outlineLevel="0" collapsed="false">
      <c r="A370" s="9" t="n">
        <v>367</v>
      </c>
      <c r="B370" s="9" t="s">
        <v>51</v>
      </c>
      <c r="C370" s="10" t="str">
        <f aca="false">VLOOKUP($B370,DM_NHAN_VIEN!$B$4:$F$18,2,FALSE())</f>
        <v>Vũ Thị Nga</v>
      </c>
      <c r="D370" s="9" t="str">
        <f aca="false">VLOOKUP($B370,DM_NHAN_VIEN!$B$4:$F$18,3,FALSE())</f>
        <v>Hành chính</v>
      </c>
      <c r="E370" s="9" t="str">
        <f aca="false">VLOOKUP($B370,DM_NHAN_VIEN!$B$4:$F$18,4,FALSE())</f>
        <v>Chuyên viên</v>
      </c>
      <c r="F370" s="18" t="n">
        <v>46202</v>
      </c>
      <c r="G370" s="9" t="str">
        <f aca="false">CHOOSE(WEEKDAY(F370,2),"Thứ Hai","Thứ Ba","Thứ Tư","Thứ Năm","Thứ Sáu","Thứ Bảy","Chủ Nhật")</f>
        <v>Thứ Hai</v>
      </c>
      <c r="H370" s="9" t="str">
        <f aca="false">VLOOKUP($B370,DM_NHAN_VIEN!$B$4:$F$18,5,FALSE())</f>
        <v>Ca Hành Chính</v>
      </c>
      <c r="I370" s="9" t="str">
        <f aca="false">VLOOKUP($H370,DM_CA_LAM!$A$4:$C$6,2,FALSE())</f>
        <v>07:30</v>
      </c>
      <c r="J370" s="9" t="str">
        <f aca="false">VLOOKUP($H370,DM_CA_LAM!$A$4:$C$6,3,FALSE())</f>
        <v>17:30</v>
      </c>
      <c r="K370" s="9" t="s">
        <v>167</v>
      </c>
      <c r="L370" s="9" t="s">
        <v>144</v>
      </c>
      <c r="M370" s="9" t="n">
        <f aca="false">IF($K370="","",MAX(0,ROUND((TIMEVALUE($K370)-TIMEVALUE($I370))*1440,0)))</f>
        <v>0</v>
      </c>
      <c r="N370" s="9" t="n">
        <f aca="false">IF($L370="","",MAX(0,ROUND((TIMEVALUE($J370)-TIMEVALUE($L370))*1440,0)))</f>
        <v>0</v>
      </c>
      <c r="O370" s="9" t="n">
        <f aca="false">IF(OR($K370="",$L370=""),0,ROUND(VLOOKUP($H370,DM_CA_LAM!$A$4:$F$6,6,FALSE())-$M370/60-$N370/60,2))</f>
        <v>8</v>
      </c>
      <c r="P370" s="9" t="s">
        <v>108</v>
      </c>
      <c r="Q370" s="9" t="n">
        <v>0</v>
      </c>
      <c r="R370" s="10"/>
      <c r="S370" s="10"/>
      <c r="T370" s="9" t="str">
        <f aca="false">$B370&amp;"_"&amp;TEXT($F370,"yyyymmdd")</f>
        <v>NV008_20260629</v>
      </c>
      <c r="U370" s="9" t="str">
        <f aca="false">VLOOKUP($P370,DM_TRANG_THAI!$A$4:$B$9,2,FALSE())</f>
        <v>P</v>
      </c>
    </row>
    <row r="371" customFormat="false" ht="15.75" hidden="false" customHeight="true" outlineLevel="0" collapsed="false">
      <c r="A371" s="9" t="n">
        <v>368</v>
      </c>
      <c r="B371" s="9" t="s">
        <v>55</v>
      </c>
      <c r="C371" s="10" t="str">
        <f aca="false">VLOOKUP($B371,DM_NHAN_VIEN!$B$4:$F$18,2,FALSE())</f>
        <v>Đặng Thị Hồng</v>
      </c>
      <c r="D371" s="9" t="str">
        <f aca="false">VLOOKUP($B371,DM_NHAN_VIEN!$B$4:$F$18,3,FALSE())</f>
        <v>Nhân sự</v>
      </c>
      <c r="E371" s="9" t="str">
        <f aca="false">VLOOKUP($B371,DM_NHAN_VIEN!$B$4:$F$18,4,FALSE())</f>
        <v>Chuyên viên</v>
      </c>
      <c r="F371" s="18" t="n">
        <v>46202</v>
      </c>
      <c r="G371" s="9" t="str">
        <f aca="false">CHOOSE(WEEKDAY(F371,2),"Thứ Hai","Thứ Ba","Thứ Tư","Thứ Năm","Thứ Sáu","Thứ Bảy","Chủ Nhật")</f>
        <v>Thứ Hai</v>
      </c>
      <c r="H371" s="9" t="str">
        <f aca="false">VLOOKUP($B371,DM_NHAN_VIEN!$B$4:$F$18,5,FALSE())</f>
        <v>Ca Hành Chính</v>
      </c>
      <c r="I371" s="9" t="str">
        <f aca="false">VLOOKUP($H371,DM_CA_LAM!$A$4:$C$6,2,FALSE())</f>
        <v>07:30</v>
      </c>
      <c r="J371" s="9" t="str">
        <f aca="false">VLOOKUP($H371,DM_CA_LAM!$A$4:$C$6,3,FALSE())</f>
        <v>17:30</v>
      </c>
      <c r="K371" s="9" t="s">
        <v>148</v>
      </c>
      <c r="L371" s="9" t="s">
        <v>164</v>
      </c>
      <c r="M371" s="9" t="n">
        <f aca="false">IF($K371="","",MAX(0,ROUND((TIMEVALUE($K371)-TIMEVALUE($I371))*1440,0)))</f>
        <v>0</v>
      </c>
      <c r="N371" s="9" t="n">
        <f aca="false">IF($L371="","",MAX(0,ROUND((TIMEVALUE($J371)-TIMEVALUE($L371))*1440,0)))</f>
        <v>0</v>
      </c>
      <c r="O371" s="9" t="n">
        <f aca="false">IF(OR($K371="",$L371=""),0,ROUND(VLOOKUP($H371,DM_CA_LAM!$A$4:$F$6,6,FALSE())-$M371/60-$N371/60,2))</f>
        <v>8</v>
      </c>
      <c r="P371" s="9" t="s">
        <v>108</v>
      </c>
      <c r="Q371" s="9" t="n">
        <v>0</v>
      </c>
      <c r="R371" s="10"/>
      <c r="S371" s="10"/>
      <c r="T371" s="9" t="str">
        <f aca="false">$B371&amp;"_"&amp;TEXT($F371,"yyyymmdd")</f>
        <v>NV010_20260629</v>
      </c>
      <c r="U371" s="9" t="str">
        <f aca="false">VLOOKUP($P371,DM_TRANG_THAI!$A$4:$B$9,2,FALSE())</f>
        <v>P</v>
      </c>
    </row>
    <row r="372" customFormat="false" ht="15.75" hidden="false" customHeight="true" outlineLevel="0" collapsed="false">
      <c r="A372" s="9" t="n">
        <v>369</v>
      </c>
      <c r="B372" s="9" t="s">
        <v>58</v>
      </c>
      <c r="C372" s="10" t="str">
        <f aca="false">VLOOKUP($B372,DM_NHAN_VIEN!$B$4:$F$18,2,FALSE())</f>
        <v>Chu Văn Minh</v>
      </c>
      <c r="D372" s="9" t="str">
        <f aca="false">VLOOKUP($B372,DM_NHAN_VIEN!$B$4:$F$18,3,FALSE())</f>
        <v>Nhân sự</v>
      </c>
      <c r="E372" s="9" t="str">
        <f aca="false">VLOOKUP($B372,DM_NHAN_VIEN!$B$4:$F$18,4,FALSE())</f>
        <v>Chuyên viên</v>
      </c>
      <c r="F372" s="18" t="n">
        <v>46202</v>
      </c>
      <c r="G372" s="9" t="str">
        <f aca="false">CHOOSE(WEEKDAY(F372,2),"Thứ Hai","Thứ Ba","Thứ Tư","Thứ Năm","Thứ Sáu","Thứ Bảy","Chủ Nhật")</f>
        <v>Thứ Hai</v>
      </c>
      <c r="H372" s="9" t="str">
        <f aca="false">VLOOKUP($B372,DM_NHAN_VIEN!$B$4:$F$18,5,FALSE())</f>
        <v>Ca Hành Chính</v>
      </c>
      <c r="I372" s="9" t="str">
        <f aca="false">VLOOKUP($H372,DM_CA_LAM!$A$4:$C$6,2,FALSE())</f>
        <v>07:30</v>
      </c>
      <c r="J372" s="9" t="str">
        <f aca="false">VLOOKUP($H372,DM_CA_LAM!$A$4:$C$6,3,FALSE())</f>
        <v>17:30</v>
      </c>
      <c r="K372" s="9" t="s">
        <v>200</v>
      </c>
      <c r="L372" s="9" t="s">
        <v>164</v>
      </c>
      <c r="M372" s="9" t="n">
        <f aca="false">IF($K372="","",MAX(0,ROUND((TIMEVALUE($K372)-TIMEVALUE($I372))*1440,0)))</f>
        <v>9</v>
      </c>
      <c r="N372" s="9" t="n">
        <f aca="false">IF($L372="","",MAX(0,ROUND((TIMEVALUE($J372)-TIMEVALUE($L372))*1440,0)))</f>
        <v>0</v>
      </c>
      <c r="O372" s="9" t="n">
        <f aca="false">IF(OR($K372="",$L372=""),0,ROUND(VLOOKUP($H372,DM_CA_LAM!$A$4:$F$6,6,FALSE())-$M372/60-$N372/60,2))</f>
        <v>7.85</v>
      </c>
      <c r="P372" s="9" t="s">
        <v>111</v>
      </c>
      <c r="Q372" s="9" t="n">
        <v>0</v>
      </c>
      <c r="R372" s="10"/>
      <c r="S372" s="10"/>
      <c r="T372" s="9" t="str">
        <f aca="false">$B372&amp;"_"&amp;TEXT($F372,"yyyymmdd")</f>
        <v>NV011_20260629</v>
      </c>
      <c r="U372" s="9" t="str">
        <f aca="false">VLOOKUP($P372,DM_TRANG_THAI!$A$4:$B$9,2,FALSE())</f>
        <v>L</v>
      </c>
    </row>
    <row r="373" customFormat="false" ht="15.75" hidden="false" customHeight="true" outlineLevel="0" collapsed="false">
      <c r="A373" s="9" t="n">
        <v>370</v>
      </c>
      <c r="B373" s="9" t="s">
        <v>61</v>
      </c>
      <c r="C373" s="10" t="str">
        <f aca="false">VLOOKUP($B373,DM_NHAN_VIEN!$B$4:$F$18,2,FALSE())</f>
        <v>Phan Thị Khánh</v>
      </c>
      <c r="D373" s="9" t="str">
        <f aca="false">VLOOKUP($B373,DM_NHAN_VIEN!$B$4:$F$18,3,FALSE())</f>
        <v>Kế toán</v>
      </c>
      <c r="E373" s="9" t="str">
        <f aca="false">VLOOKUP($B373,DM_NHAN_VIEN!$B$4:$F$18,4,FALSE())</f>
        <v>Trưởng phòng</v>
      </c>
      <c r="F373" s="18" t="n">
        <v>46202</v>
      </c>
      <c r="G373" s="9" t="str">
        <f aca="false">CHOOSE(WEEKDAY(F373,2),"Thứ Hai","Thứ Ba","Thứ Tư","Thứ Năm","Thứ Sáu","Thứ Bảy","Chủ Nhật")</f>
        <v>Thứ Hai</v>
      </c>
      <c r="H373" s="9" t="str">
        <f aca="false">VLOOKUP($B373,DM_NHAN_VIEN!$B$4:$F$18,5,FALSE())</f>
        <v>Ca Hành Chính</v>
      </c>
      <c r="I373" s="9" t="str">
        <f aca="false">VLOOKUP($H373,DM_CA_LAM!$A$4:$C$6,2,FALSE())</f>
        <v>07:30</v>
      </c>
      <c r="J373" s="9" t="str">
        <f aca="false">VLOOKUP($H373,DM_CA_LAM!$A$4:$C$6,3,FALSE())</f>
        <v>17:30</v>
      </c>
      <c r="K373" s="9" t="s">
        <v>167</v>
      </c>
      <c r="L373" s="9" t="s">
        <v>159</v>
      </c>
      <c r="M373" s="9" t="n">
        <f aca="false">IF($K373="","",MAX(0,ROUND((TIMEVALUE($K373)-TIMEVALUE($I373))*1440,0)))</f>
        <v>0</v>
      </c>
      <c r="N373" s="9" t="n">
        <f aca="false">IF($L373="","",MAX(0,ROUND((TIMEVALUE($J373)-TIMEVALUE($L373))*1440,0)))</f>
        <v>0</v>
      </c>
      <c r="O373" s="9" t="n">
        <f aca="false">IF(OR($K373="",$L373=""),0,ROUND(VLOOKUP($H373,DM_CA_LAM!$A$4:$F$6,6,FALSE())-$M373/60-$N373/60,2))</f>
        <v>8</v>
      </c>
      <c r="P373" s="9" t="s">
        <v>108</v>
      </c>
      <c r="Q373" s="9" t="n">
        <v>0</v>
      </c>
      <c r="R373" s="10"/>
      <c r="S373" s="10"/>
      <c r="T373" s="9" t="str">
        <f aca="false">$B373&amp;"_"&amp;TEXT($F373,"yyyymmdd")</f>
        <v>NV014_20260629</v>
      </c>
      <c r="U373" s="9" t="str">
        <f aca="false">VLOOKUP($P373,DM_TRANG_THAI!$A$4:$B$9,2,FALSE())</f>
        <v>P</v>
      </c>
    </row>
    <row r="374" customFormat="false" ht="15.75" hidden="false" customHeight="true" outlineLevel="0" collapsed="false">
      <c r="A374" s="9" t="n">
        <v>371</v>
      </c>
      <c r="B374" s="9" t="s">
        <v>65</v>
      </c>
      <c r="C374" s="10" t="str">
        <f aca="false">VLOOKUP($B374,DM_NHAN_VIEN!$B$4:$F$18,2,FALSE())</f>
        <v>Trịnh Văn Hùng</v>
      </c>
      <c r="D374" s="9" t="str">
        <f aca="false">VLOOKUP($B374,DM_NHAN_VIEN!$B$4:$F$18,3,FALSE())</f>
        <v>Kế toán</v>
      </c>
      <c r="E374" s="9" t="str">
        <f aca="false">VLOOKUP($B374,DM_NHAN_VIEN!$B$4:$F$18,4,FALSE())</f>
        <v>Phó phòng</v>
      </c>
      <c r="F374" s="18" t="n">
        <v>46202</v>
      </c>
      <c r="G374" s="9" t="str">
        <f aca="false">CHOOSE(WEEKDAY(F374,2),"Thứ Hai","Thứ Ba","Thứ Tư","Thứ Năm","Thứ Sáu","Thứ Bảy","Chủ Nhật")</f>
        <v>Thứ Hai</v>
      </c>
      <c r="H374" s="9" t="str">
        <f aca="false">VLOOKUP($B374,DM_NHAN_VIEN!$B$4:$F$18,5,FALSE())</f>
        <v>Ca Hành Chính</v>
      </c>
      <c r="I374" s="9" t="str">
        <f aca="false">VLOOKUP($H374,DM_CA_LAM!$A$4:$C$6,2,FALSE())</f>
        <v>07:30</v>
      </c>
      <c r="J374" s="9" t="str">
        <f aca="false">VLOOKUP($H374,DM_CA_LAM!$A$4:$C$6,3,FALSE())</f>
        <v>17:30</v>
      </c>
      <c r="K374" s="9" t="s">
        <v>150</v>
      </c>
      <c r="L374" s="9" t="s">
        <v>144</v>
      </c>
      <c r="M374" s="9" t="n">
        <f aca="false">IF($K374="","",MAX(0,ROUND((TIMEVALUE($K374)-TIMEVALUE($I374))*1440,0)))</f>
        <v>0</v>
      </c>
      <c r="N374" s="9" t="n">
        <f aca="false">IF($L374="","",MAX(0,ROUND((TIMEVALUE($J374)-TIMEVALUE($L374))*1440,0)))</f>
        <v>0</v>
      </c>
      <c r="O374" s="9" t="n">
        <f aca="false">IF(OR($K374="",$L374=""),0,ROUND(VLOOKUP($H374,DM_CA_LAM!$A$4:$F$6,6,FALSE())-$M374/60-$N374/60,2))</f>
        <v>8</v>
      </c>
      <c r="P374" s="9" t="s">
        <v>108</v>
      </c>
      <c r="Q374" s="9" t="n">
        <v>0</v>
      </c>
      <c r="R374" s="10"/>
      <c r="S374" s="10"/>
      <c r="T374" s="9" t="str">
        <f aca="false">$B374&amp;"_"&amp;TEXT($F374,"yyyymmdd")</f>
        <v>NV015_20260629</v>
      </c>
      <c r="U374" s="9" t="str">
        <f aca="false">VLOOKUP($P374,DM_TRANG_THAI!$A$4:$B$9,2,FALSE())</f>
        <v>P</v>
      </c>
    </row>
    <row r="375" customFormat="false" ht="15.75" hidden="false" customHeight="true" outlineLevel="0" collapsed="false">
      <c r="A375" s="9" t="n">
        <v>372</v>
      </c>
      <c r="B375" s="9" t="s">
        <v>68</v>
      </c>
      <c r="C375" s="10" t="str">
        <f aca="false">VLOOKUP($B375,DM_NHAN_VIEN!$B$4:$F$18,2,FALSE())</f>
        <v>Hoàng Văn Lộc</v>
      </c>
      <c r="D375" s="9" t="str">
        <f aca="false">VLOOKUP($B375,DM_NHAN_VIEN!$B$4:$F$18,3,FALSE())</f>
        <v>Kinh doanh</v>
      </c>
      <c r="E375" s="9" t="str">
        <f aca="false">VLOOKUP($B375,DM_NHAN_VIEN!$B$4:$F$18,4,FALSE())</f>
        <v>Trưởng phòng</v>
      </c>
      <c r="F375" s="18" t="n">
        <v>46202</v>
      </c>
      <c r="G375" s="9" t="str">
        <f aca="false">CHOOSE(WEEKDAY(F375,2),"Thứ Hai","Thứ Ba","Thứ Tư","Thứ Năm","Thứ Sáu","Thứ Bảy","Chủ Nhật")</f>
        <v>Thứ Hai</v>
      </c>
      <c r="H375" s="9" t="str">
        <f aca="false">VLOOKUP($B375,DM_NHAN_VIEN!$B$4:$F$18,5,FALSE())</f>
        <v>Ca Hành Chính</v>
      </c>
      <c r="I375" s="9" t="str">
        <f aca="false">VLOOKUP($H375,DM_CA_LAM!$A$4:$C$6,2,FALSE())</f>
        <v>07:30</v>
      </c>
      <c r="J375" s="9" t="str">
        <f aca="false">VLOOKUP($H375,DM_CA_LAM!$A$4:$C$6,3,FALSE())</f>
        <v>17:30</v>
      </c>
      <c r="K375" s="9" t="s">
        <v>150</v>
      </c>
      <c r="L375" s="9" t="s">
        <v>157</v>
      </c>
      <c r="M375" s="9" t="n">
        <f aca="false">IF($K375="","",MAX(0,ROUND((TIMEVALUE($K375)-TIMEVALUE($I375))*1440,0)))</f>
        <v>0</v>
      </c>
      <c r="N375" s="9" t="n">
        <f aca="false">IF($L375="","",MAX(0,ROUND((TIMEVALUE($J375)-TIMEVALUE($L375))*1440,0)))</f>
        <v>0</v>
      </c>
      <c r="O375" s="9" t="n">
        <f aca="false">IF(OR($K375="",$L375=""),0,ROUND(VLOOKUP($H375,DM_CA_LAM!$A$4:$F$6,6,FALSE())-$M375/60-$N375/60,2))</f>
        <v>8</v>
      </c>
      <c r="P375" s="9" t="s">
        <v>108</v>
      </c>
      <c r="Q375" s="9" t="n">
        <v>1</v>
      </c>
      <c r="R375" s="10" t="s">
        <v>169</v>
      </c>
      <c r="S375" s="10"/>
      <c r="T375" s="9" t="str">
        <f aca="false">$B375&amp;"_"&amp;TEXT($F375,"yyyymmdd")</f>
        <v>NV019_20260629</v>
      </c>
      <c r="U375" s="9" t="str">
        <f aca="false">VLOOKUP($P375,DM_TRANG_THAI!$A$4:$B$9,2,FALSE())</f>
        <v>P</v>
      </c>
    </row>
    <row r="376" customFormat="false" ht="15.75" hidden="false" customHeight="true" outlineLevel="0" collapsed="false">
      <c r="A376" s="9" t="n">
        <v>373</v>
      </c>
      <c r="B376" s="9" t="s">
        <v>72</v>
      </c>
      <c r="C376" s="10" t="str">
        <f aca="false">VLOOKUP($B376,DM_NHAN_VIEN!$B$4:$F$18,2,FALSE())</f>
        <v>Nguyễn Văn Phú</v>
      </c>
      <c r="D376" s="9" t="str">
        <f aca="false">VLOOKUP($B376,DM_NHAN_VIEN!$B$4:$F$18,3,FALSE())</f>
        <v>Kinh doanh</v>
      </c>
      <c r="E376" s="9" t="str">
        <f aca="false">VLOOKUP($B376,DM_NHAN_VIEN!$B$4:$F$18,4,FALSE())</f>
        <v>Nhân viên</v>
      </c>
      <c r="F376" s="18" t="n">
        <v>46202</v>
      </c>
      <c r="G376" s="9" t="str">
        <f aca="false">CHOOSE(WEEKDAY(F376,2),"Thứ Hai","Thứ Ba","Thứ Tư","Thứ Năm","Thứ Sáu","Thứ Bảy","Chủ Nhật")</f>
        <v>Thứ Hai</v>
      </c>
      <c r="H376" s="9" t="str">
        <f aca="false">VLOOKUP($B376,DM_NHAN_VIEN!$B$4:$F$18,5,FALSE())</f>
        <v>Ca Hành Chính</v>
      </c>
      <c r="I376" s="9" t="str">
        <f aca="false">VLOOKUP($H376,DM_CA_LAM!$A$4:$C$6,2,FALSE())</f>
        <v>07:30</v>
      </c>
      <c r="J376" s="9" t="str">
        <f aca="false">VLOOKUP($H376,DM_CA_LAM!$A$4:$C$6,3,FALSE())</f>
        <v>17:30</v>
      </c>
      <c r="K376" s="9" t="s">
        <v>147</v>
      </c>
      <c r="L376" s="9" t="s">
        <v>164</v>
      </c>
      <c r="M376" s="9" t="n">
        <f aca="false">IF($K376="","",MAX(0,ROUND((TIMEVALUE($K376)-TIMEVALUE($I376))*1440,0)))</f>
        <v>0</v>
      </c>
      <c r="N376" s="9" t="n">
        <f aca="false">IF($L376="","",MAX(0,ROUND((TIMEVALUE($J376)-TIMEVALUE($L376))*1440,0)))</f>
        <v>0</v>
      </c>
      <c r="O376" s="9" t="n">
        <f aca="false">IF(OR($K376="",$L376=""),0,ROUND(VLOOKUP($H376,DM_CA_LAM!$A$4:$F$6,6,FALSE())-$M376/60-$N376/60,2))</f>
        <v>8</v>
      </c>
      <c r="P376" s="9" t="s">
        <v>108</v>
      </c>
      <c r="Q376" s="9" t="n">
        <v>0</v>
      </c>
      <c r="R376" s="10"/>
      <c r="S376" s="10"/>
      <c r="T376" s="9" t="str">
        <f aca="false">$B376&amp;"_"&amp;TEXT($F376,"yyyymmdd")</f>
        <v>NV021_20260629</v>
      </c>
      <c r="U376" s="9" t="str">
        <f aca="false">VLOOKUP($P376,DM_TRANG_THAI!$A$4:$B$9,2,FALSE())</f>
        <v>P</v>
      </c>
    </row>
    <row r="377" customFormat="false" ht="15.75" hidden="false" customHeight="true" outlineLevel="0" collapsed="false">
      <c r="A377" s="9" t="n">
        <v>374</v>
      </c>
      <c r="B377" s="9" t="s">
        <v>76</v>
      </c>
      <c r="C377" s="10" t="str">
        <f aca="false">VLOOKUP($B377,DM_NHAN_VIEN!$B$4:$F$18,2,FALSE())</f>
        <v>Lý Văn Dũng</v>
      </c>
      <c r="D377" s="9" t="str">
        <f aca="false">VLOOKUP($B377,DM_NHAN_VIEN!$B$4:$F$18,3,FALSE())</f>
        <v>Xưởng sản xuất</v>
      </c>
      <c r="E377" s="9" t="str">
        <f aca="false">VLOOKUP($B377,DM_NHAN_VIEN!$B$4:$F$18,4,FALSE())</f>
        <v>Tổ trưởng</v>
      </c>
      <c r="F377" s="18" t="n">
        <v>46202</v>
      </c>
      <c r="G377" s="9" t="str">
        <f aca="false">CHOOSE(WEEKDAY(F377,2),"Thứ Hai","Thứ Ba","Thứ Tư","Thứ Năm","Thứ Sáu","Thứ Bảy","Chủ Nhật")</f>
        <v>Thứ Hai</v>
      </c>
      <c r="H377" s="9" t="str">
        <f aca="false">VLOOKUP($B377,DM_NHAN_VIEN!$B$4:$F$18,5,FALSE())</f>
        <v>Ca Hành Chính</v>
      </c>
      <c r="I377" s="9" t="str">
        <f aca="false">VLOOKUP($H377,DM_CA_LAM!$A$4:$C$6,2,FALSE())</f>
        <v>07:30</v>
      </c>
      <c r="J377" s="9" t="str">
        <f aca="false">VLOOKUP($H377,DM_CA_LAM!$A$4:$C$6,3,FALSE())</f>
        <v>17:30</v>
      </c>
      <c r="K377" s="9"/>
      <c r="L377" s="9"/>
      <c r="M377" s="9" t="str">
        <f aca="false">IF($K377="","",MAX(0,ROUND((TIMEVALUE($K377)-TIMEVALUE($I377))*1440,0)))</f>
        <v/>
      </c>
      <c r="N377" s="9" t="str">
        <f aca="false">IF($L377="","",MAX(0,ROUND((TIMEVALUE($J377)-TIMEVALUE($L377))*1440,0)))</f>
        <v/>
      </c>
      <c r="O377" s="9" t="n">
        <f aca="false">IF(OR($K377="",$L377=""),0,ROUND(VLOOKUP($H377,DM_CA_LAM!$A$4:$F$6,6,FALSE())-$M377/60-$N377/60,2))</f>
        <v>0</v>
      </c>
      <c r="P377" s="9" t="s">
        <v>117</v>
      </c>
      <c r="Q377" s="9" t="n">
        <v>0</v>
      </c>
      <c r="R377" s="10"/>
      <c r="S377" s="10"/>
      <c r="T377" s="9" t="str">
        <f aca="false">$B377&amp;"_"&amp;TEXT($F377,"yyyymmdd")</f>
        <v>NV029_20260629</v>
      </c>
      <c r="U377" s="9" t="str">
        <f aca="false">VLOOKUP($P377,DM_TRANG_THAI!$A$4:$B$9,2,FALSE())</f>
        <v>NP</v>
      </c>
    </row>
    <row r="378" customFormat="false" ht="15.75" hidden="false" customHeight="true" outlineLevel="0" collapsed="false">
      <c r="A378" s="9" t="n">
        <v>375</v>
      </c>
      <c r="B378" s="9" t="s">
        <v>80</v>
      </c>
      <c r="C378" s="10" t="str">
        <f aca="false">VLOOKUP($B378,DM_NHAN_VIEN!$B$4:$F$18,2,FALSE())</f>
        <v>Tống Văn Thắng</v>
      </c>
      <c r="D378" s="9" t="str">
        <f aca="false">VLOOKUP($B378,DM_NHAN_VIEN!$B$4:$F$18,3,FALSE())</f>
        <v>Xưởng sản xuất</v>
      </c>
      <c r="E378" s="9" t="str">
        <f aca="false">VLOOKUP($B378,DM_NHAN_VIEN!$B$4:$F$18,4,FALSE())</f>
        <v>Tổ trưởng</v>
      </c>
      <c r="F378" s="18" t="n">
        <v>46202</v>
      </c>
      <c r="G378" s="9" t="str">
        <f aca="false">CHOOSE(WEEKDAY(F378,2),"Thứ Hai","Thứ Ba","Thứ Tư","Thứ Năm","Thứ Sáu","Thứ Bảy","Chủ Nhật")</f>
        <v>Thứ Hai</v>
      </c>
      <c r="H378" s="9" t="str">
        <f aca="false">VLOOKUP($B378,DM_NHAN_VIEN!$B$4:$F$18,5,FALSE())</f>
        <v>Ca Hành Chính</v>
      </c>
      <c r="I378" s="9" t="str">
        <f aca="false">VLOOKUP($H378,DM_CA_LAM!$A$4:$C$6,2,FALSE())</f>
        <v>07:30</v>
      </c>
      <c r="J378" s="9" t="str">
        <f aca="false">VLOOKUP($H378,DM_CA_LAM!$A$4:$C$6,3,FALSE())</f>
        <v>17:30</v>
      </c>
      <c r="K378" s="9" t="s">
        <v>158</v>
      </c>
      <c r="L378" s="9" t="s">
        <v>153</v>
      </c>
      <c r="M378" s="9" t="n">
        <f aca="false">IF($K378="","",MAX(0,ROUND((TIMEVALUE($K378)-TIMEVALUE($I378))*1440,0)))</f>
        <v>0</v>
      </c>
      <c r="N378" s="9" t="n">
        <f aca="false">IF($L378="","",MAX(0,ROUND((TIMEVALUE($J378)-TIMEVALUE($L378))*1440,0)))</f>
        <v>0</v>
      </c>
      <c r="O378" s="9" t="n">
        <f aca="false">IF(OR($K378="",$L378=""),0,ROUND(VLOOKUP($H378,DM_CA_LAM!$A$4:$F$6,6,FALSE())-$M378/60-$N378/60,2))</f>
        <v>8</v>
      </c>
      <c r="P378" s="9" t="s">
        <v>108</v>
      </c>
      <c r="Q378" s="9" t="n">
        <v>3</v>
      </c>
      <c r="R378" s="10" t="s">
        <v>151</v>
      </c>
      <c r="S378" s="10"/>
      <c r="T378" s="9" t="str">
        <f aca="false">$B378&amp;"_"&amp;TEXT($F378,"yyyymmdd")</f>
        <v>NV030_20260629</v>
      </c>
      <c r="U378" s="9" t="str">
        <f aca="false">VLOOKUP($P378,DM_TRANG_THAI!$A$4:$B$9,2,FALSE())</f>
        <v>P</v>
      </c>
    </row>
    <row r="379" customFormat="false" ht="15.75" hidden="false" customHeight="true" outlineLevel="0" collapsed="false">
      <c r="A379" s="9" t="n">
        <v>376</v>
      </c>
      <c r="B379" s="9" t="s">
        <v>24</v>
      </c>
      <c r="C379" s="10" t="str">
        <f aca="false">VLOOKUP($B379,DM_NHAN_VIEN!$B$4:$F$18,2,FALSE())</f>
        <v>Nguyễn Văn Giám Đốc</v>
      </c>
      <c r="D379" s="9" t="str">
        <f aca="false">VLOOKUP($B379,DM_NHAN_VIEN!$B$4:$F$18,3,FALSE())</f>
        <v>Hành chính</v>
      </c>
      <c r="E379" s="9" t="str">
        <f aca="false">VLOOKUP($B379,DM_NHAN_VIEN!$B$4:$F$18,4,FALSE())</f>
        <v>Giám đốc</v>
      </c>
      <c r="F379" s="18" t="n">
        <v>46203</v>
      </c>
      <c r="G379" s="9" t="str">
        <f aca="false">CHOOSE(WEEKDAY(F379,2),"Thứ Hai","Thứ Ba","Thứ Tư","Thứ Năm","Thứ Sáu","Thứ Bảy","Chủ Nhật")</f>
        <v>Thứ Ba</v>
      </c>
      <c r="H379" s="9" t="str">
        <f aca="false">VLOOKUP($B379,DM_NHAN_VIEN!$B$4:$F$18,5,FALSE())</f>
        <v>Ca Hành Chính</v>
      </c>
      <c r="I379" s="9" t="str">
        <f aca="false">VLOOKUP($H379,DM_CA_LAM!$A$4:$C$6,2,FALSE())</f>
        <v>07:30</v>
      </c>
      <c r="J379" s="9" t="str">
        <f aca="false">VLOOKUP($H379,DM_CA_LAM!$A$4:$C$6,3,FALSE())</f>
        <v>17:30</v>
      </c>
      <c r="K379" s="9" t="s">
        <v>156</v>
      </c>
      <c r="L379" s="9" t="s">
        <v>153</v>
      </c>
      <c r="M379" s="9" t="n">
        <f aca="false">IF($K379="","",MAX(0,ROUND((TIMEVALUE($K379)-TIMEVALUE($I379))*1440,0)))</f>
        <v>0</v>
      </c>
      <c r="N379" s="9" t="n">
        <f aca="false">IF($L379="","",MAX(0,ROUND((TIMEVALUE($J379)-TIMEVALUE($L379))*1440,0)))</f>
        <v>0</v>
      </c>
      <c r="O379" s="9" t="n">
        <f aca="false">IF(OR($K379="",$L379=""),0,ROUND(VLOOKUP($H379,DM_CA_LAM!$A$4:$F$6,6,FALSE())-$M379/60-$N379/60,2))</f>
        <v>8</v>
      </c>
      <c r="P379" s="9" t="s">
        <v>108</v>
      </c>
      <c r="Q379" s="9" t="n">
        <v>0</v>
      </c>
      <c r="R379" s="10"/>
      <c r="S379" s="10"/>
      <c r="T379" s="9" t="str">
        <f aca="false">$B379&amp;"_"&amp;TEXT($F379,"yyyymmdd")</f>
        <v>NV002_20260630</v>
      </c>
      <c r="U379" s="9" t="str">
        <f aca="false">VLOOKUP($P379,DM_TRANG_THAI!$A$4:$B$9,2,FALSE())</f>
        <v>P</v>
      </c>
    </row>
    <row r="380" customFormat="false" ht="15.75" hidden="false" customHeight="true" outlineLevel="0" collapsed="false">
      <c r="A380" s="9" t="n">
        <v>377</v>
      </c>
      <c r="B380" s="9" t="s">
        <v>30</v>
      </c>
      <c r="C380" s="10" t="str">
        <f aca="false">VLOOKUP($B380,DM_NHAN_VIEN!$B$4:$F$18,2,FALSE())</f>
        <v>Trần Thị Nhân Sự</v>
      </c>
      <c r="D380" s="9" t="str">
        <f aca="false">VLOOKUP($B380,DM_NHAN_VIEN!$B$4:$F$18,3,FALSE())</f>
        <v>Nhân sự</v>
      </c>
      <c r="E380" s="9" t="str">
        <f aca="false">VLOOKUP($B380,DM_NHAN_VIEN!$B$4:$F$18,4,FALSE())</f>
        <v>Trưởng phòng</v>
      </c>
      <c r="F380" s="18" t="n">
        <v>46203</v>
      </c>
      <c r="G380" s="9" t="str">
        <f aca="false">CHOOSE(WEEKDAY(F380,2),"Thứ Hai","Thứ Ba","Thứ Tư","Thứ Năm","Thứ Sáu","Thứ Bảy","Chủ Nhật")</f>
        <v>Thứ Ba</v>
      </c>
      <c r="H380" s="9" t="str">
        <f aca="false">VLOOKUP($B380,DM_NHAN_VIEN!$B$4:$F$18,5,FALSE())</f>
        <v>Ca Hành Chính</v>
      </c>
      <c r="I380" s="9" t="str">
        <f aca="false">VLOOKUP($H380,DM_CA_LAM!$A$4:$C$6,2,FALSE())</f>
        <v>07:30</v>
      </c>
      <c r="J380" s="9" t="str">
        <f aca="false">VLOOKUP($H380,DM_CA_LAM!$A$4:$C$6,3,FALSE())</f>
        <v>17:30</v>
      </c>
      <c r="K380" s="9"/>
      <c r="L380" s="9"/>
      <c r="M380" s="9" t="str">
        <f aca="false">IF($K380="","",MAX(0,ROUND((TIMEVALUE($K380)-TIMEVALUE($I380))*1440,0)))</f>
        <v/>
      </c>
      <c r="N380" s="9" t="str">
        <f aca="false">IF($L380="","",MAX(0,ROUND((TIMEVALUE($J380)-TIMEVALUE($L380))*1440,0)))</f>
        <v/>
      </c>
      <c r="O380" s="9" t="n">
        <f aca="false">IF(OR($K380="",$L380=""),0,ROUND(VLOOKUP($H380,DM_CA_LAM!$A$4:$F$6,6,FALSE())-$M380/60-$N380/60,2))</f>
        <v>0</v>
      </c>
      <c r="P380" s="9" t="s">
        <v>120</v>
      </c>
      <c r="Q380" s="9" t="n">
        <v>0</v>
      </c>
      <c r="R380" s="10"/>
      <c r="S380" s="10"/>
      <c r="T380" s="9" t="str">
        <f aca="false">$B380&amp;"_"&amp;TEXT($F380,"yyyymmdd")</f>
        <v>NV003_20260630</v>
      </c>
      <c r="U380" s="9" t="str">
        <f aca="false">VLOOKUP($P380,DM_TRANG_THAI!$A$4:$B$9,2,FALSE())</f>
        <v>KL</v>
      </c>
    </row>
    <row r="381" customFormat="false" ht="15.75" hidden="false" customHeight="true" outlineLevel="0" collapsed="false">
      <c r="A381" s="9" t="n">
        <v>378</v>
      </c>
      <c r="B381" s="9" t="s">
        <v>35</v>
      </c>
      <c r="C381" s="10" t="str">
        <f aca="false">VLOOKUP($B381,DM_NHAN_VIEN!$B$4:$F$18,2,FALSE())</f>
        <v>Lê Văn Quản Đốc</v>
      </c>
      <c r="D381" s="9" t="str">
        <f aca="false">VLOOKUP($B381,DM_NHAN_VIEN!$B$4:$F$18,3,FALSE())</f>
        <v>Xưởng sản xuất</v>
      </c>
      <c r="E381" s="9" t="str">
        <f aca="false">VLOOKUP($B381,DM_NHAN_VIEN!$B$4:$F$18,4,FALSE())</f>
        <v>Quản đốc</v>
      </c>
      <c r="F381" s="18" t="n">
        <v>46203</v>
      </c>
      <c r="G381" s="9" t="str">
        <f aca="false">CHOOSE(WEEKDAY(F381,2),"Thứ Hai","Thứ Ba","Thứ Tư","Thứ Năm","Thứ Sáu","Thứ Bảy","Chủ Nhật")</f>
        <v>Thứ Ba</v>
      </c>
      <c r="H381" s="9" t="str">
        <f aca="false">VLOOKUP($B381,DM_NHAN_VIEN!$B$4:$F$18,5,FALSE())</f>
        <v>Ca Hành Chính</v>
      </c>
      <c r="I381" s="9" t="str">
        <f aca="false">VLOOKUP($H381,DM_CA_LAM!$A$4:$C$6,2,FALSE())</f>
        <v>07:30</v>
      </c>
      <c r="J381" s="9" t="str">
        <f aca="false">VLOOKUP($H381,DM_CA_LAM!$A$4:$C$6,3,FALSE())</f>
        <v>17:30</v>
      </c>
      <c r="K381" s="9" t="s">
        <v>150</v>
      </c>
      <c r="L381" s="9" t="s">
        <v>170</v>
      </c>
      <c r="M381" s="9" t="n">
        <f aca="false">IF($K381="","",MAX(0,ROUND((TIMEVALUE($K381)-TIMEVALUE($I381))*1440,0)))</f>
        <v>0</v>
      </c>
      <c r="N381" s="9" t="n">
        <f aca="false">IF($L381="","",MAX(0,ROUND((TIMEVALUE($J381)-TIMEVALUE($L381))*1440,0)))</f>
        <v>0</v>
      </c>
      <c r="O381" s="9" t="n">
        <f aca="false">IF(OR($K381="",$L381=""),0,ROUND(VLOOKUP($H381,DM_CA_LAM!$A$4:$F$6,6,FALSE())-$M381/60-$N381/60,2))</f>
        <v>8</v>
      </c>
      <c r="P381" s="9" t="s">
        <v>108</v>
      </c>
      <c r="Q381" s="9" t="n">
        <v>0</v>
      </c>
      <c r="R381" s="10"/>
      <c r="S381" s="10"/>
      <c r="T381" s="9" t="str">
        <f aca="false">$B381&amp;"_"&amp;TEXT($F381,"yyyymmdd")</f>
        <v>NV004_20260630</v>
      </c>
      <c r="U381" s="9" t="str">
        <f aca="false">VLOOKUP($P381,DM_TRANG_THAI!$A$4:$B$9,2,FALSE())</f>
        <v>P</v>
      </c>
    </row>
    <row r="382" customFormat="false" ht="15.75" hidden="false" customHeight="true" outlineLevel="0" collapsed="false">
      <c r="A382" s="9" t="n">
        <v>379</v>
      </c>
      <c r="B382" s="9" t="s">
        <v>40</v>
      </c>
      <c r="C382" s="10" t="str">
        <f aca="false">VLOOKUP($B382,DM_NHAN_VIEN!$B$4:$F$18,2,FALSE())</f>
        <v>Phạm Công Nhân</v>
      </c>
      <c r="D382" s="9" t="str">
        <f aca="false">VLOOKUP($B382,DM_NHAN_VIEN!$B$4:$F$18,3,FALSE())</f>
        <v>Xưởng sản xuất</v>
      </c>
      <c r="E382" s="9" t="str">
        <f aca="false">VLOOKUP($B382,DM_NHAN_VIEN!$B$4:$F$18,4,FALSE())</f>
        <v>Công nhân</v>
      </c>
      <c r="F382" s="18" t="n">
        <v>46203</v>
      </c>
      <c r="G382" s="9" t="str">
        <f aca="false">CHOOSE(WEEKDAY(F382,2),"Thứ Hai","Thứ Ba","Thứ Tư","Thứ Năm","Thứ Sáu","Thứ Bảy","Chủ Nhật")</f>
        <v>Thứ Ba</v>
      </c>
      <c r="H382" s="9" t="str">
        <f aca="false">VLOOKUP($B382,DM_NHAN_VIEN!$B$4:$F$18,5,FALSE())</f>
        <v>Ca Hành Chính</v>
      </c>
      <c r="I382" s="9" t="str">
        <f aca="false">VLOOKUP($H382,DM_CA_LAM!$A$4:$C$6,2,FALSE())</f>
        <v>07:30</v>
      </c>
      <c r="J382" s="9" t="str">
        <f aca="false">VLOOKUP($H382,DM_CA_LAM!$A$4:$C$6,3,FALSE())</f>
        <v>17:30</v>
      </c>
      <c r="K382" s="9" t="s">
        <v>161</v>
      </c>
      <c r="L382" s="9" t="s">
        <v>164</v>
      </c>
      <c r="M382" s="9" t="n">
        <f aca="false">IF($K382="","",MAX(0,ROUND((TIMEVALUE($K382)-TIMEVALUE($I382))*1440,0)))</f>
        <v>0</v>
      </c>
      <c r="N382" s="9" t="n">
        <f aca="false">IF($L382="","",MAX(0,ROUND((TIMEVALUE($J382)-TIMEVALUE($L382))*1440,0)))</f>
        <v>0</v>
      </c>
      <c r="O382" s="9" t="n">
        <f aca="false">IF(OR($K382="",$L382=""),0,ROUND(VLOOKUP($H382,DM_CA_LAM!$A$4:$F$6,6,FALSE())-$M382/60-$N382/60,2))</f>
        <v>8</v>
      </c>
      <c r="P382" s="9" t="s">
        <v>108</v>
      </c>
      <c r="Q382" s="9" t="n">
        <v>0</v>
      </c>
      <c r="R382" s="10"/>
      <c r="S382" s="10"/>
      <c r="T382" s="9" t="str">
        <f aca="false">$B382&amp;"_"&amp;TEXT($F382,"yyyymmdd")</f>
        <v>NV005_20260630</v>
      </c>
      <c r="U382" s="9" t="str">
        <f aca="false">VLOOKUP($P382,DM_TRANG_THAI!$A$4:$B$9,2,FALSE())</f>
        <v>P</v>
      </c>
    </row>
    <row r="383" customFormat="false" ht="15.75" hidden="false" customHeight="true" outlineLevel="0" collapsed="false">
      <c r="A383" s="9" t="n">
        <v>380</v>
      </c>
      <c r="B383" s="9" t="s">
        <v>44</v>
      </c>
      <c r="C383" s="10" t="str">
        <f aca="false">VLOOKUP($B383,DM_NHAN_VIEN!$B$4:$F$18,2,FALSE())</f>
        <v>Đỗ Thị Hà</v>
      </c>
      <c r="D383" s="9" t="str">
        <f aca="false">VLOOKUP($B383,DM_NHAN_VIEN!$B$4:$F$18,3,FALSE())</f>
        <v>Hành chính</v>
      </c>
      <c r="E383" s="9" t="str">
        <f aca="false">VLOOKUP($B383,DM_NHAN_VIEN!$B$4:$F$18,4,FALSE())</f>
        <v>Trưởng phòng</v>
      </c>
      <c r="F383" s="18" t="n">
        <v>46203</v>
      </c>
      <c r="G383" s="9" t="str">
        <f aca="false">CHOOSE(WEEKDAY(F383,2),"Thứ Hai","Thứ Ba","Thứ Tư","Thứ Năm","Thứ Sáu","Thứ Bảy","Chủ Nhật")</f>
        <v>Thứ Ba</v>
      </c>
      <c r="H383" s="9" t="str">
        <f aca="false">VLOOKUP($B383,DM_NHAN_VIEN!$B$4:$F$18,5,FALSE())</f>
        <v>Ca Hành Chính</v>
      </c>
      <c r="I383" s="9" t="str">
        <f aca="false">VLOOKUP($H383,DM_CA_LAM!$A$4:$C$6,2,FALSE())</f>
        <v>07:30</v>
      </c>
      <c r="J383" s="9" t="str">
        <f aca="false">VLOOKUP($H383,DM_CA_LAM!$A$4:$C$6,3,FALSE())</f>
        <v>17:30</v>
      </c>
      <c r="K383" s="9" t="s">
        <v>148</v>
      </c>
      <c r="L383" s="9" t="s">
        <v>162</v>
      </c>
      <c r="M383" s="9" t="n">
        <f aca="false">IF($K383="","",MAX(0,ROUND((TIMEVALUE($K383)-TIMEVALUE($I383))*1440,0)))</f>
        <v>0</v>
      </c>
      <c r="N383" s="9" t="n">
        <f aca="false">IF($L383="","",MAX(0,ROUND((TIMEVALUE($J383)-TIMEVALUE($L383))*1440,0)))</f>
        <v>0</v>
      </c>
      <c r="O383" s="9" t="n">
        <f aca="false">IF(OR($K383="",$L383=""),0,ROUND(VLOOKUP($H383,DM_CA_LAM!$A$4:$F$6,6,FALSE())-$M383/60-$N383/60,2))</f>
        <v>8</v>
      </c>
      <c r="P383" s="9" t="s">
        <v>108</v>
      </c>
      <c r="Q383" s="9" t="n">
        <v>0</v>
      </c>
      <c r="R383" s="10"/>
      <c r="S383" s="10"/>
      <c r="T383" s="9" t="str">
        <f aca="false">$B383&amp;"_"&amp;TEXT($F383,"yyyymmdd")</f>
        <v>NV006_20260630</v>
      </c>
      <c r="U383" s="9" t="str">
        <f aca="false">VLOOKUP($P383,DM_TRANG_THAI!$A$4:$B$9,2,FALSE())</f>
        <v>P</v>
      </c>
    </row>
    <row r="384" customFormat="false" ht="15.75" hidden="false" customHeight="true" outlineLevel="0" collapsed="false">
      <c r="A384" s="9" t="n">
        <v>381</v>
      </c>
      <c r="B384" s="9" t="s">
        <v>47</v>
      </c>
      <c r="C384" s="10" t="str">
        <f aca="false">VLOOKUP($B384,DM_NHAN_VIEN!$B$4:$F$18,2,FALSE())</f>
        <v>Ngô Văn Tài</v>
      </c>
      <c r="D384" s="9" t="str">
        <f aca="false">VLOOKUP($B384,DM_NHAN_VIEN!$B$4:$F$18,3,FALSE())</f>
        <v>Hành chính</v>
      </c>
      <c r="E384" s="9" t="str">
        <f aca="false">VLOOKUP($B384,DM_NHAN_VIEN!$B$4:$F$18,4,FALSE())</f>
        <v>Phó phòng</v>
      </c>
      <c r="F384" s="18" t="n">
        <v>46203</v>
      </c>
      <c r="G384" s="9" t="str">
        <f aca="false">CHOOSE(WEEKDAY(F384,2),"Thứ Hai","Thứ Ba","Thứ Tư","Thứ Năm","Thứ Sáu","Thứ Bảy","Chủ Nhật")</f>
        <v>Thứ Ba</v>
      </c>
      <c r="H384" s="9" t="str">
        <f aca="false">VLOOKUP($B384,DM_NHAN_VIEN!$B$4:$F$18,5,FALSE())</f>
        <v>Ca Hành Chính</v>
      </c>
      <c r="I384" s="9" t="str">
        <f aca="false">VLOOKUP($H384,DM_CA_LAM!$A$4:$C$6,2,FALSE())</f>
        <v>07:30</v>
      </c>
      <c r="J384" s="9" t="str">
        <f aca="false">VLOOKUP($H384,DM_CA_LAM!$A$4:$C$6,3,FALSE())</f>
        <v>17:30</v>
      </c>
      <c r="K384" s="9" t="s">
        <v>145</v>
      </c>
      <c r="L384" s="9" t="s">
        <v>174</v>
      </c>
      <c r="M384" s="9" t="n">
        <f aca="false">IF($K384="","",MAX(0,ROUND((TIMEVALUE($K384)-TIMEVALUE($I384))*1440,0)))</f>
        <v>0</v>
      </c>
      <c r="N384" s="9" t="n">
        <f aca="false">IF($L384="","",MAX(0,ROUND((TIMEVALUE($J384)-TIMEVALUE($L384))*1440,0)))</f>
        <v>0</v>
      </c>
      <c r="O384" s="9" t="n">
        <f aca="false">IF(OR($K384="",$L384=""),0,ROUND(VLOOKUP($H384,DM_CA_LAM!$A$4:$F$6,6,FALSE())-$M384/60-$N384/60,2))</f>
        <v>8</v>
      </c>
      <c r="P384" s="9" t="s">
        <v>108</v>
      </c>
      <c r="Q384" s="9" t="n">
        <v>0</v>
      </c>
      <c r="R384" s="10"/>
      <c r="S384" s="10"/>
      <c r="T384" s="9" t="str">
        <f aca="false">$B384&amp;"_"&amp;TEXT($F384,"yyyymmdd")</f>
        <v>NV007_20260630</v>
      </c>
      <c r="U384" s="9" t="str">
        <f aca="false">VLOOKUP($P384,DM_TRANG_THAI!$A$4:$B$9,2,FALSE())</f>
        <v>P</v>
      </c>
    </row>
    <row r="385" customFormat="false" ht="15.75" hidden="false" customHeight="true" outlineLevel="0" collapsed="false">
      <c r="A385" s="9" t="n">
        <v>382</v>
      </c>
      <c r="B385" s="9" t="s">
        <v>51</v>
      </c>
      <c r="C385" s="10" t="str">
        <f aca="false">VLOOKUP($B385,DM_NHAN_VIEN!$B$4:$F$18,2,FALSE())</f>
        <v>Vũ Thị Nga</v>
      </c>
      <c r="D385" s="9" t="str">
        <f aca="false">VLOOKUP($B385,DM_NHAN_VIEN!$B$4:$F$18,3,FALSE())</f>
        <v>Hành chính</v>
      </c>
      <c r="E385" s="9" t="str">
        <f aca="false">VLOOKUP($B385,DM_NHAN_VIEN!$B$4:$F$18,4,FALSE())</f>
        <v>Chuyên viên</v>
      </c>
      <c r="F385" s="18" t="n">
        <v>46203</v>
      </c>
      <c r="G385" s="9" t="str">
        <f aca="false">CHOOSE(WEEKDAY(F385,2),"Thứ Hai","Thứ Ba","Thứ Tư","Thứ Năm","Thứ Sáu","Thứ Bảy","Chủ Nhật")</f>
        <v>Thứ Ba</v>
      </c>
      <c r="H385" s="9" t="str">
        <f aca="false">VLOOKUP($B385,DM_NHAN_VIEN!$B$4:$F$18,5,FALSE())</f>
        <v>Ca Hành Chính</v>
      </c>
      <c r="I385" s="9" t="str">
        <f aca="false">VLOOKUP($H385,DM_CA_LAM!$A$4:$C$6,2,FALSE())</f>
        <v>07:30</v>
      </c>
      <c r="J385" s="9" t="str">
        <f aca="false">VLOOKUP($H385,DM_CA_LAM!$A$4:$C$6,3,FALSE())</f>
        <v>17:30</v>
      </c>
      <c r="K385" s="9" t="s">
        <v>160</v>
      </c>
      <c r="L385" s="9" t="s">
        <v>164</v>
      </c>
      <c r="M385" s="9" t="n">
        <f aca="false">IF($K385="","",MAX(0,ROUND((TIMEVALUE($K385)-TIMEVALUE($I385))*1440,0)))</f>
        <v>0</v>
      </c>
      <c r="N385" s="9" t="n">
        <f aca="false">IF($L385="","",MAX(0,ROUND((TIMEVALUE($J385)-TIMEVALUE($L385))*1440,0)))</f>
        <v>0</v>
      </c>
      <c r="O385" s="9" t="n">
        <f aca="false">IF(OR($K385="",$L385=""),0,ROUND(VLOOKUP($H385,DM_CA_LAM!$A$4:$F$6,6,FALSE())-$M385/60-$N385/60,2))</f>
        <v>8</v>
      </c>
      <c r="P385" s="9" t="s">
        <v>108</v>
      </c>
      <c r="Q385" s="9" t="n">
        <v>0</v>
      </c>
      <c r="R385" s="10"/>
      <c r="S385" s="10"/>
      <c r="T385" s="9" t="str">
        <f aca="false">$B385&amp;"_"&amp;TEXT($F385,"yyyymmdd")</f>
        <v>NV008_20260630</v>
      </c>
      <c r="U385" s="9" t="str">
        <f aca="false">VLOOKUP($P385,DM_TRANG_THAI!$A$4:$B$9,2,FALSE())</f>
        <v>P</v>
      </c>
    </row>
    <row r="386" customFormat="false" ht="15.75" hidden="false" customHeight="true" outlineLevel="0" collapsed="false">
      <c r="A386" s="9" t="n">
        <v>383</v>
      </c>
      <c r="B386" s="9" t="s">
        <v>55</v>
      </c>
      <c r="C386" s="10" t="str">
        <f aca="false">VLOOKUP($B386,DM_NHAN_VIEN!$B$4:$F$18,2,FALSE())</f>
        <v>Đặng Thị Hồng</v>
      </c>
      <c r="D386" s="9" t="str">
        <f aca="false">VLOOKUP($B386,DM_NHAN_VIEN!$B$4:$F$18,3,FALSE())</f>
        <v>Nhân sự</v>
      </c>
      <c r="E386" s="9" t="str">
        <f aca="false">VLOOKUP($B386,DM_NHAN_VIEN!$B$4:$F$18,4,FALSE())</f>
        <v>Chuyên viên</v>
      </c>
      <c r="F386" s="18" t="n">
        <v>46203</v>
      </c>
      <c r="G386" s="9" t="str">
        <f aca="false">CHOOSE(WEEKDAY(F386,2),"Thứ Hai","Thứ Ba","Thứ Tư","Thứ Năm","Thứ Sáu","Thứ Bảy","Chủ Nhật")</f>
        <v>Thứ Ba</v>
      </c>
      <c r="H386" s="9" t="str">
        <f aca="false">VLOOKUP($B386,DM_NHAN_VIEN!$B$4:$F$18,5,FALSE())</f>
        <v>Ca Hành Chính</v>
      </c>
      <c r="I386" s="9" t="str">
        <f aca="false">VLOOKUP($H386,DM_CA_LAM!$A$4:$C$6,2,FALSE())</f>
        <v>07:30</v>
      </c>
      <c r="J386" s="9" t="str">
        <f aca="false">VLOOKUP($H386,DM_CA_LAM!$A$4:$C$6,3,FALSE())</f>
        <v>17:30</v>
      </c>
      <c r="K386" s="9" t="s">
        <v>158</v>
      </c>
      <c r="L386" s="9" t="s">
        <v>144</v>
      </c>
      <c r="M386" s="9" t="n">
        <f aca="false">IF($K386="","",MAX(0,ROUND((TIMEVALUE($K386)-TIMEVALUE($I386))*1440,0)))</f>
        <v>0</v>
      </c>
      <c r="N386" s="9" t="n">
        <f aca="false">IF($L386="","",MAX(0,ROUND((TIMEVALUE($J386)-TIMEVALUE($L386))*1440,0)))</f>
        <v>0</v>
      </c>
      <c r="O386" s="9" t="n">
        <f aca="false">IF(OR($K386="",$L386=""),0,ROUND(VLOOKUP($H386,DM_CA_LAM!$A$4:$F$6,6,FALSE())-$M386/60-$N386/60,2))</f>
        <v>8</v>
      </c>
      <c r="P386" s="9" t="s">
        <v>108</v>
      </c>
      <c r="Q386" s="9" t="n">
        <v>0</v>
      </c>
      <c r="R386" s="10"/>
      <c r="S386" s="10"/>
      <c r="T386" s="9" t="str">
        <f aca="false">$B386&amp;"_"&amp;TEXT($F386,"yyyymmdd")</f>
        <v>NV010_20260630</v>
      </c>
      <c r="U386" s="9" t="str">
        <f aca="false">VLOOKUP($P386,DM_TRANG_THAI!$A$4:$B$9,2,FALSE())</f>
        <v>P</v>
      </c>
    </row>
    <row r="387" customFormat="false" ht="15.75" hidden="false" customHeight="true" outlineLevel="0" collapsed="false">
      <c r="A387" s="9" t="n">
        <v>384</v>
      </c>
      <c r="B387" s="9" t="s">
        <v>58</v>
      </c>
      <c r="C387" s="10" t="str">
        <f aca="false">VLOOKUP($B387,DM_NHAN_VIEN!$B$4:$F$18,2,FALSE())</f>
        <v>Chu Văn Minh</v>
      </c>
      <c r="D387" s="9" t="str">
        <f aca="false">VLOOKUP($B387,DM_NHAN_VIEN!$B$4:$F$18,3,FALSE())</f>
        <v>Nhân sự</v>
      </c>
      <c r="E387" s="9" t="str">
        <f aca="false">VLOOKUP($B387,DM_NHAN_VIEN!$B$4:$F$18,4,FALSE())</f>
        <v>Chuyên viên</v>
      </c>
      <c r="F387" s="18" t="n">
        <v>46203</v>
      </c>
      <c r="G387" s="9" t="str">
        <f aca="false">CHOOSE(WEEKDAY(F387,2),"Thứ Hai","Thứ Ba","Thứ Tư","Thứ Năm","Thứ Sáu","Thứ Bảy","Chủ Nhật")</f>
        <v>Thứ Ba</v>
      </c>
      <c r="H387" s="9" t="str">
        <f aca="false">VLOOKUP($B387,DM_NHAN_VIEN!$B$4:$F$18,5,FALSE())</f>
        <v>Ca Hành Chính</v>
      </c>
      <c r="I387" s="9" t="str">
        <f aca="false">VLOOKUP($H387,DM_CA_LAM!$A$4:$C$6,2,FALSE())</f>
        <v>07:30</v>
      </c>
      <c r="J387" s="9" t="str">
        <f aca="false">VLOOKUP($H387,DM_CA_LAM!$A$4:$C$6,3,FALSE())</f>
        <v>17:30</v>
      </c>
      <c r="K387" s="9" t="s">
        <v>147</v>
      </c>
      <c r="L387" s="9" t="s">
        <v>157</v>
      </c>
      <c r="M387" s="9" t="n">
        <f aca="false">IF($K387="","",MAX(0,ROUND((TIMEVALUE($K387)-TIMEVALUE($I387))*1440,0)))</f>
        <v>0</v>
      </c>
      <c r="N387" s="9" t="n">
        <f aca="false">IF($L387="","",MAX(0,ROUND((TIMEVALUE($J387)-TIMEVALUE($L387))*1440,0)))</f>
        <v>0</v>
      </c>
      <c r="O387" s="9" t="n">
        <f aca="false">IF(OR($K387="",$L387=""),0,ROUND(VLOOKUP($H387,DM_CA_LAM!$A$4:$F$6,6,FALSE())-$M387/60-$N387/60,2))</f>
        <v>8</v>
      </c>
      <c r="P387" s="9" t="s">
        <v>108</v>
      </c>
      <c r="Q387" s="9" t="n">
        <v>0</v>
      </c>
      <c r="R387" s="10"/>
      <c r="S387" s="10"/>
      <c r="T387" s="9" t="str">
        <f aca="false">$B387&amp;"_"&amp;TEXT($F387,"yyyymmdd")</f>
        <v>NV011_20260630</v>
      </c>
      <c r="U387" s="9" t="str">
        <f aca="false">VLOOKUP($P387,DM_TRANG_THAI!$A$4:$B$9,2,FALSE())</f>
        <v>P</v>
      </c>
    </row>
    <row r="388" customFormat="false" ht="15.75" hidden="false" customHeight="true" outlineLevel="0" collapsed="false">
      <c r="A388" s="9" t="n">
        <v>385</v>
      </c>
      <c r="B388" s="9" t="s">
        <v>61</v>
      </c>
      <c r="C388" s="10" t="str">
        <f aca="false">VLOOKUP($B388,DM_NHAN_VIEN!$B$4:$F$18,2,FALSE())</f>
        <v>Phan Thị Khánh</v>
      </c>
      <c r="D388" s="9" t="str">
        <f aca="false">VLOOKUP($B388,DM_NHAN_VIEN!$B$4:$F$18,3,FALSE())</f>
        <v>Kế toán</v>
      </c>
      <c r="E388" s="9" t="str">
        <f aca="false">VLOOKUP($B388,DM_NHAN_VIEN!$B$4:$F$18,4,FALSE())</f>
        <v>Trưởng phòng</v>
      </c>
      <c r="F388" s="18" t="n">
        <v>46203</v>
      </c>
      <c r="G388" s="9" t="str">
        <f aca="false">CHOOSE(WEEKDAY(F388,2),"Thứ Hai","Thứ Ba","Thứ Tư","Thứ Năm","Thứ Sáu","Thứ Bảy","Chủ Nhật")</f>
        <v>Thứ Ba</v>
      </c>
      <c r="H388" s="9" t="str">
        <f aca="false">VLOOKUP($B388,DM_NHAN_VIEN!$B$4:$F$18,5,FALSE())</f>
        <v>Ca Hành Chính</v>
      </c>
      <c r="I388" s="9" t="str">
        <f aca="false">VLOOKUP($H388,DM_CA_LAM!$A$4:$C$6,2,FALSE())</f>
        <v>07:30</v>
      </c>
      <c r="J388" s="9" t="str">
        <f aca="false">VLOOKUP($H388,DM_CA_LAM!$A$4:$C$6,3,FALSE())</f>
        <v>17:30</v>
      </c>
      <c r="K388" s="9" t="s">
        <v>160</v>
      </c>
      <c r="L388" s="9" t="s">
        <v>170</v>
      </c>
      <c r="M388" s="9" t="n">
        <f aca="false">IF($K388="","",MAX(0,ROUND((TIMEVALUE($K388)-TIMEVALUE($I388))*1440,0)))</f>
        <v>0</v>
      </c>
      <c r="N388" s="9" t="n">
        <f aca="false">IF($L388="","",MAX(0,ROUND((TIMEVALUE($J388)-TIMEVALUE($L388))*1440,0)))</f>
        <v>0</v>
      </c>
      <c r="O388" s="9" t="n">
        <f aca="false">IF(OR($K388="",$L388=""),0,ROUND(VLOOKUP($H388,DM_CA_LAM!$A$4:$F$6,6,FALSE())-$M388/60-$N388/60,2))</f>
        <v>8</v>
      </c>
      <c r="P388" s="9" t="s">
        <v>108</v>
      </c>
      <c r="Q388" s="9" t="n">
        <v>0</v>
      </c>
      <c r="R388" s="10"/>
      <c r="S388" s="10"/>
      <c r="T388" s="9" t="str">
        <f aca="false">$B388&amp;"_"&amp;TEXT($F388,"yyyymmdd")</f>
        <v>NV014_20260630</v>
      </c>
      <c r="U388" s="9" t="str">
        <f aca="false">VLOOKUP($P388,DM_TRANG_THAI!$A$4:$B$9,2,FALSE())</f>
        <v>P</v>
      </c>
    </row>
    <row r="389" customFormat="false" ht="15.75" hidden="false" customHeight="true" outlineLevel="0" collapsed="false">
      <c r="A389" s="9" t="n">
        <v>386</v>
      </c>
      <c r="B389" s="9" t="s">
        <v>65</v>
      </c>
      <c r="C389" s="10" t="str">
        <f aca="false">VLOOKUP($B389,DM_NHAN_VIEN!$B$4:$F$18,2,FALSE())</f>
        <v>Trịnh Văn Hùng</v>
      </c>
      <c r="D389" s="9" t="str">
        <f aca="false">VLOOKUP($B389,DM_NHAN_VIEN!$B$4:$F$18,3,FALSE())</f>
        <v>Kế toán</v>
      </c>
      <c r="E389" s="9" t="str">
        <f aca="false">VLOOKUP($B389,DM_NHAN_VIEN!$B$4:$F$18,4,FALSE())</f>
        <v>Phó phòng</v>
      </c>
      <c r="F389" s="18" t="n">
        <v>46203</v>
      </c>
      <c r="G389" s="9" t="str">
        <f aca="false">CHOOSE(WEEKDAY(F389,2),"Thứ Hai","Thứ Ba","Thứ Tư","Thứ Năm","Thứ Sáu","Thứ Bảy","Chủ Nhật")</f>
        <v>Thứ Ba</v>
      </c>
      <c r="H389" s="9" t="str">
        <f aca="false">VLOOKUP($B389,DM_NHAN_VIEN!$B$4:$F$18,5,FALSE())</f>
        <v>Ca Hành Chính</v>
      </c>
      <c r="I389" s="9" t="str">
        <f aca="false">VLOOKUP($H389,DM_CA_LAM!$A$4:$C$6,2,FALSE())</f>
        <v>07:30</v>
      </c>
      <c r="J389" s="9" t="str">
        <f aca="false">VLOOKUP($H389,DM_CA_LAM!$A$4:$C$6,3,FALSE())</f>
        <v>17:30</v>
      </c>
      <c r="K389" s="9" t="s">
        <v>142</v>
      </c>
      <c r="L389" s="9" t="s">
        <v>183</v>
      </c>
      <c r="M389" s="9" t="n">
        <f aca="false">IF($K389="","",MAX(0,ROUND((TIMEVALUE($K389)-TIMEVALUE($I389))*1440,0)))</f>
        <v>0</v>
      </c>
      <c r="N389" s="9" t="n">
        <f aca="false">IF($L389="","",MAX(0,ROUND((TIMEVALUE($J389)-TIMEVALUE($L389))*1440,0)))</f>
        <v>0</v>
      </c>
      <c r="O389" s="9" t="n">
        <f aca="false">IF(OR($K389="",$L389=""),0,ROUND(VLOOKUP($H389,DM_CA_LAM!$A$4:$F$6,6,FALSE())-$M389/60-$N389/60,2))</f>
        <v>8</v>
      </c>
      <c r="P389" s="9" t="s">
        <v>108</v>
      </c>
      <c r="Q389" s="9" t="n">
        <v>0</v>
      </c>
      <c r="R389" s="10"/>
      <c r="S389" s="10"/>
      <c r="T389" s="9" t="str">
        <f aca="false">$B389&amp;"_"&amp;TEXT($F389,"yyyymmdd")</f>
        <v>NV015_20260630</v>
      </c>
      <c r="U389" s="9" t="str">
        <f aca="false">VLOOKUP($P389,DM_TRANG_THAI!$A$4:$B$9,2,FALSE())</f>
        <v>P</v>
      </c>
    </row>
    <row r="390" customFormat="false" ht="15.75" hidden="false" customHeight="true" outlineLevel="0" collapsed="false">
      <c r="A390" s="9" t="n">
        <v>387</v>
      </c>
      <c r="B390" s="9" t="s">
        <v>68</v>
      </c>
      <c r="C390" s="10" t="str">
        <f aca="false">VLOOKUP($B390,DM_NHAN_VIEN!$B$4:$F$18,2,FALSE())</f>
        <v>Hoàng Văn Lộc</v>
      </c>
      <c r="D390" s="9" t="str">
        <f aca="false">VLOOKUP($B390,DM_NHAN_VIEN!$B$4:$F$18,3,FALSE())</f>
        <v>Kinh doanh</v>
      </c>
      <c r="E390" s="9" t="str">
        <f aca="false">VLOOKUP($B390,DM_NHAN_VIEN!$B$4:$F$18,4,FALSE())</f>
        <v>Trưởng phòng</v>
      </c>
      <c r="F390" s="18" t="n">
        <v>46203</v>
      </c>
      <c r="G390" s="9" t="str">
        <f aca="false">CHOOSE(WEEKDAY(F390,2),"Thứ Hai","Thứ Ba","Thứ Tư","Thứ Năm","Thứ Sáu","Thứ Bảy","Chủ Nhật")</f>
        <v>Thứ Ba</v>
      </c>
      <c r="H390" s="9" t="str">
        <f aca="false">VLOOKUP($B390,DM_NHAN_VIEN!$B$4:$F$18,5,FALSE())</f>
        <v>Ca Hành Chính</v>
      </c>
      <c r="I390" s="9" t="str">
        <f aca="false">VLOOKUP($H390,DM_CA_LAM!$A$4:$C$6,2,FALSE())</f>
        <v>07:30</v>
      </c>
      <c r="J390" s="9" t="str">
        <f aca="false">VLOOKUP($H390,DM_CA_LAM!$A$4:$C$6,3,FALSE())</f>
        <v>17:30</v>
      </c>
      <c r="K390" s="9" t="s">
        <v>156</v>
      </c>
      <c r="L390" s="9" t="s">
        <v>157</v>
      </c>
      <c r="M390" s="9" t="n">
        <f aca="false">IF($K390="","",MAX(0,ROUND((TIMEVALUE($K390)-TIMEVALUE($I390))*1440,0)))</f>
        <v>0</v>
      </c>
      <c r="N390" s="9" t="n">
        <f aca="false">IF($L390="","",MAX(0,ROUND((TIMEVALUE($J390)-TIMEVALUE($L390))*1440,0)))</f>
        <v>0</v>
      </c>
      <c r="O390" s="9" t="n">
        <f aca="false">IF(OR($K390="",$L390=""),0,ROUND(VLOOKUP($H390,DM_CA_LAM!$A$4:$F$6,6,FALSE())-$M390/60-$N390/60,2))</f>
        <v>8</v>
      </c>
      <c r="P390" s="9" t="s">
        <v>108</v>
      </c>
      <c r="Q390" s="9" t="n">
        <v>0</v>
      </c>
      <c r="R390" s="10"/>
      <c r="S390" s="10"/>
      <c r="T390" s="9" t="str">
        <f aca="false">$B390&amp;"_"&amp;TEXT($F390,"yyyymmdd")</f>
        <v>NV019_20260630</v>
      </c>
      <c r="U390" s="9" t="str">
        <f aca="false">VLOOKUP($P390,DM_TRANG_THAI!$A$4:$B$9,2,FALSE())</f>
        <v>P</v>
      </c>
    </row>
    <row r="391" customFormat="false" ht="15.75" hidden="false" customHeight="true" outlineLevel="0" collapsed="false">
      <c r="A391" s="9" t="n">
        <v>388</v>
      </c>
      <c r="B391" s="9" t="s">
        <v>72</v>
      </c>
      <c r="C391" s="10" t="str">
        <f aca="false">VLOOKUP($B391,DM_NHAN_VIEN!$B$4:$F$18,2,FALSE())</f>
        <v>Nguyễn Văn Phú</v>
      </c>
      <c r="D391" s="9" t="str">
        <f aca="false">VLOOKUP($B391,DM_NHAN_VIEN!$B$4:$F$18,3,FALSE())</f>
        <v>Kinh doanh</v>
      </c>
      <c r="E391" s="9" t="str">
        <f aca="false">VLOOKUP($B391,DM_NHAN_VIEN!$B$4:$F$18,4,FALSE())</f>
        <v>Nhân viên</v>
      </c>
      <c r="F391" s="18" t="n">
        <v>46203</v>
      </c>
      <c r="G391" s="9" t="str">
        <f aca="false">CHOOSE(WEEKDAY(F391,2),"Thứ Hai","Thứ Ba","Thứ Tư","Thứ Năm","Thứ Sáu","Thứ Bảy","Chủ Nhật")</f>
        <v>Thứ Ba</v>
      </c>
      <c r="H391" s="9" t="str">
        <f aca="false">VLOOKUP($B391,DM_NHAN_VIEN!$B$4:$F$18,5,FALSE())</f>
        <v>Ca Hành Chính</v>
      </c>
      <c r="I391" s="9" t="str">
        <f aca="false">VLOOKUP($H391,DM_CA_LAM!$A$4:$C$6,2,FALSE())</f>
        <v>07:30</v>
      </c>
      <c r="J391" s="9" t="str">
        <f aca="false">VLOOKUP($H391,DM_CA_LAM!$A$4:$C$6,3,FALSE())</f>
        <v>17:30</v>
      </c>
      <c r="K391" s="9" t="s">
        <v>167</v>
      </c>
      <c r="L391" s="9" t="s">
        <v>170</v>
      </c>
      <c r="M391" s="9" t="n">
        <f aca="false">IF($K391="","",MAX(0,ROUND((TIMEVALUE($K391)-TIMEVALUE($I391))*1440,0)))</f>
        <v>0</v>
      </c>
      <c r="N391" s="9" t="n">
        <f aca="false">IF($L391="","",MAX(0,ROUND((TIMEVALUE($J391)-TIMEVALUE($L391))*1440,0)))</f>
        <v>0</v>
      </c>
      <c r="O391" s="9" t="n">
        <f aca="false">IF(OR($K391="",$L391=""),0,ROUND(VLOOKUP($H391,DM_CA_LAM!$A$4:$F$6,6,FALSE())-$M391/60-$N391/60,2))</f>
        <v>8</v>
      </c>
      <c r="P391" s="9" t="s">
        <v>108</v>
      </c>
      <c r="Q391" s="9" t="n">
        <v>2</v>
      </c>
      <c r="R391" s="10" t="s">
        <v>151</v>
      </c>
      <c r="S391" s="10"/>
      <c r="T391" s="9" t="str">
        <f aca="false">$B391&amp;"_"&amp;TEXT($F391,"yyyymmdd")</f>
        <v>NV021_20260630</v>
      </c>
      <c r="U391" s="9" t="str">
        <f aca="false">VLOOKUP($P391,DM_TRANG_THAI!$A$4:$B$9,2,FALSE())</f>
        <v>P</v>
      </c>
    </row>
    <row r="392" customFormat="false" ht="15.75" hidden="false" customHeight="true" outlineLevel="0" collapsed="false">
      <c r="A392" s="9" t="n">
        <v>389</v>
      </c>
      <c r="B392" s="9" t="s">
        <v>76</v>
      </c>
      <c r="C392" s="10" t="str">
        <f aca="false">VLOOKUP($B392,DM_NHAN_VIEN!$B$4:$F$18,2,FALSE())</f>
        <v>Lý Văn Dũng</v>
      </c>
      <c r="D392" s="9" t="str">
        <f aca="false">VLOOKUP($B392,DM_NHAN_VIEN!$B$4:$F$18,3,FALSE())</f>
        <v>Xưởng sản xuất</v>
      </c>
      <c r="E392" s="9" t="str">
        <f aca="false">VLOOKUP($B392,DM_NHAN_VIEN!$B$4:$F$18,4,FALSE())</f>
        <v>Tổ trưởng</v>
      </c>
      <c r="F392" s="18" t="n">
        <v>46203</v>
      </c>
      <c r="G392" s="9" t="str">
        <f aca="false">CHOOSE(WEEKDAY(F392,2),"Thứ Hai","Thứ Ba","Thứ Tư","Thứ Năm","Thứ Sáu","Thứ Bảy","Chủ Nhật")</f>
        <v>Thứ Ba</v>
      </c>
      <c r="H392" s="9" t="str">
        <f aca="false">VLOOKUP($B392,DM_NHAN_VIEN!$B$4:$F$18,5,FALSE())</f>
        <v>Ca Hành Chính</v>
      </c>
      <c r="I392" s="9" t="str">
        <f aca="false">VLOOKUP($H392,DM_CA_LAM!$A$4:$C$6,2,FALSE())</f>
        <v>07:30</v>
      </c>
      <c r="J392" s="9" t="str">
        <f aca="false">VLOOKUP($H392,DM_CA_LAM!$A$4:$C$6,3,FALSE())</f>
        <v>17:30</v>
      </c>
      <c r="K392" s="9"/>
      <c r="L392" s="9"/>
      <c r="M392" s="9" t="str">
        <f aca="false">IF($K392="","",MAX(0,ROUND((TIMEVALUE($K392)-TIMEVALUE($I392))*1440,0)))</f>
        <v/>
      </c>
      <c r="N392" s="9" t="str">
        <f aca="false">IF($L392="","",MAX(0,ROUND((TIMEVALUE($J392)-TIMEVALUE($L392))*1440,0)))</f>
        <v/>
      </c>
      <c r="O392" s="9" t="n">
        <f aca="false">IF(OR($K392="",$L392=""),0,ROUND(VLOOKUP($H392,DM_CA_LAM!$A$4:$F$6,6,FALSE())-$M392/60-$N392/60,2))</f>
        <v>0</v>
      </c>
      <c r="P392" s="9" t="s">
        <v>120</v>
      </c>
      <c r="Q392" s="9" t="n">
        <v>0</v>
      </c>
      <c r="R392" s="10"/>
      <c r="S392" s="10"/>
      <c r="T392" s="9" t="str">
        <f aca="false">$B392&amp;"_"&amp;TEXT($F392,"yyyymmdd")</f>
        <v>NV029_20260630</v>
      </c>
      <c r="U392" s="9" t="str">
        <f aca="false">VLOOKUP($P392,DM_TRANG_THAI!$A$4:$B$9,2,FALSE())</f>
        <v>KL</v>
      </c>
    </row>
    <row r="393" customFormat="false" ht="15.75" hidden="false" customHeight="true" outlineLevel="0" collapsed="false">
      <c r="A393" s="9" t="n">
        <v>390</v>
      </c>
      <c r="B393" s="9" t="s">
        <v>80</v>
      </c>
      <c r="C393" s="10" t="str">
        <f aca="false">VLOOKUP($B393,DM_NHAN_VIEN!$B$4:$F$18,2,FALSE())</f>
        <v>Tống Văn Thắng</v>
      </c>
      <c r="D393" s="9" t="str">
        <f aca="false">VLOOKUP($B393,DM_NHAN_VIEN!$B$4:$F$18,3,FALSE())</f>
        <v>Xưởng sản xuất</v>
      </c>
      <c r="E393" s="9" t="str">
        <f aca="false">VLOOKUP($B393,DM_NHAN_VIEN!$B$4:$F$18,4,FALSE())</f>
        <v>Tổ trưởng</v>
      </c>
      <c r="F393" s="18" t="n">
        <v>46203</v>
      </c>
      <c r="G393" s="9" t="str">
        <f aca="false">CHOOSE(WEEKDAY(F393,2),"Thứ Hai","Thứ Ba","Thứ Tư","Thứ Năm","Thứ Sáu","Thứ Bảy","Chủ Nhật")</f>
        <v>Thứ Ba</v>
      </c>
      <c r="H393" s="9" t="str">
        <f aca="false">VLOOKUP($B393,DM_NHAN_VIEN!$B$4:$F$18,5,FALSE())</f>
        <v>Ca Hành Chính</v>
      </c>
      <c r="I393" s="9" t="str">
        <f aca="false">VLOOKUP($H393,DM_CA_LAM!$A$4:$C$6,2,FALSE())</f>
        <v>07:30</v>
      </c>
      <c r="J393" s="9" t="str">
        <f aca="false">VLOOKUP($H393,DM_CA_LAM!$A$4:$C$6,3,FALSE())</f>
        <v>17:30</v>
      </c>
      <c r="K393" s="9" t="s">
        <v>186</v>
      </c>
      <c r="L393" s="9" t="s">
        <v>146</v>
      </c>
      <c r="M393" s="9" t="n">
        <f aca="false">IF($K393="","",MAX(0,ROUND((TIMEVALUE($K393)-TIMEVALUE($I393))*1440,0)))</f>
        <v>10</v>
      </c>
      <c r="N393" s="9" t="n">
        <f aca="false">IF($L393="","",MAX(0,ROUND((TIMEVALUE($J393)-TIMEVALUE($L393))*1440,0)))</f>
        <v>0</v>
      </c>
      <c r="O393" s="9" t="n">
        <f aca="false">IF(OR($K393="",$L393=""),0,ROUND(VLOOKUP($H393,DM_CA_LAM!$A$4:$F$6,6,FALSE())-$M393/60-$N393/60,2))</f>
        <v>7.83</v>
      </c>
      <c r="P393" s="9" t="s">
        <v>111</v>
      </c>
      <c r="Q393" s="9" t="n">
        <v>0</v>
      </c>
      <c r="R393" s="10"/>
      <c r="S393" s="10"/>
      <c r="T393" s="9" t="str">
        <f aca="false">$B393&amp;"_"&amp;TEXT($F393,"yyyymmdd")</f>
        <v>NV030_20260630</v>
      </c>
      <c r="U393" s="9" t="str">
        <f aca="false">VLOOKUP($P393,DM_TRANG_THAI!$A$4:$B$9,2,FALSE())</f>
        <v>L</v>
      </c>
    </row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35" min="6" style="0" width="4.2"/>
    <col collapsed="false" customWidth="true" hidden="false" outlineLevel="0" max="40" min="36" style="0" width="13"/>
  </cols>
  <sheetData>
    <row r="1" customFormat="false" ht="25.5" hidden="false" customHeight="true" outlineLevel="0" collapsed="false">
      <c r="A1" s="6" t="s">
        <v>201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customFormat="false" ht="18" hidden="false" customHeight="true" outlineLevel="0" collapsed="false">
      <c r="A2" s="7" t="s">
        <v>202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 customFormat="false" ht="30" hidden="false" customHeight="true" outlineLevel="0" collapsed="false">
      <c r="A3" s="19" t="s">
        <v>17</v>
      </c>
      <c r="B3" s="19" t="s">
        <v>18</v>
      </c>
      <c r="C3" s="19" t="s">
        <v>19</v>
      </c>
      <c r="D3" s="19" t="s">
        <v>20</v>
      </c>
      <c r="E3" s="19" t="s">
        <v>22</v>
      </c>
      <c r="F3" s="8" t="n">
        <v>1</v>
      </c>
      <c r="G3" s="8" t="n">
        <v>2</v>
      </c>
      <c r="H3" s="8" t="n">
        <v>3</v>
      </c>
      <c r="I3" s="8" t="n">
        <v>4</v>
      </c>
      <c r="J3" s="8" t="n">
        <v>5</v>
      </c>
      <c r="K3" s="8" t="n">
        <v>6</v>
      </c>
      <c r="L3" s="8" t="n">
        <v>7</v>
      </c>
      <c r="M3" s="8" t="n">
        <v>8</v>
      </c>
      <c r="N3" s="8" t="n">
        <v>9</v>
      </c>
      <c r="O3" s="8" t="n">
        <v>10</v>
      </c>
      <c r="P3" s="8" t="n">
        <v>11</v>
      </c>
      <c r="Q3" s="8" t="n">
        <v>12</v>
      </c>
      <c r="R3" s="8" t="n">
        <v>13</v>
      </c>
      <c r="S3" s="8" t="n">
        <v>14</v>
      </c>
      <c r="T3" s="8" t="n">
        <v>15</v>
      </c>
      <c r="U3" s="8" t="n">
        <v>16</v>
      </c>
      <c r="V3" s="8" t="n">
        <v>17</v>
      </c>
      <c r="W3" s="8" t="n">
        <v>18</v>
      </c>
      <c r="X3" s="8" t="n">
        <v>19</v>
      </c>
      <c r="Y3" s="8" t="n">
        <v>20</v>
      </c>
      <c r="Z3" s="8" t="n">
        <v>21</v>
      </c>
      <c r="AA3" s="8" t="n">
        <v>22</v>
      </c>
      <c r="AB3" s="8" t="n">
        <v>23</v>
      </c>
      <c r="AC3" s="8" t="n">
        <v>24</v>
      </c>
      <c r="AD3" s="8" t="n">
        <v>25</v>
      </c>
      <c r="AE3" s="8" t="n">
        <v>26</v>
      </c>
      <c r="AF3" s="8" t="n">
        <v>27</v>
      </c>
      <c r="AG3" s="8" t="n">
        <v>28</v>
      </c>
      <c r="AH3" s="8" t="n">
        <v>29</v>
      </c>
      <c r="AI3" s="8" t="n">
        <v>30</v>
      </c>
      <c r="AJ3" s="19" t="s">
        <v>203</v>
      </c>
      <c r="AK3" s="19" t="s">
        <v>204</v>
      </c>
      <c r="AL3" s="19" t="s">
        <v>205</v>
      </c>
      <c r="AM3" s="19" t="s">
        <v>206</v>
      </c>
      <c r="AN3" s="19" t="s">
        <v>207</v>
      </c>
    </row>
    <row r="4" customFormat="false" ht="15.75" hidden="false" customHeight="true" outlineLevel="0" collapsed="false">
      <c r="A4" s="19"/>
      <c r="B4" s="19"/>
      <c r="C4" s="19"/>
      <c r="D4" s="19"/>
      <c r="E4" s="19"/>
      <c r="F4" s="8" t="s">
        <v>208</v>
      </c>
      <c r="G4" s="8" t="s">
        <v>209</v>
      </c>
      <c r="H4" s="8" t="s">
        <v>210</v>
      </c>
      <c r="I4" s="8" t="s">
        <v>211</v>
      </c>
      <c r="J4" s="8" t="s">
        <v>212</v>
      </c>
      <c r="K4" s="8" t="s">
        <v>213</v>
      </c>
      <c r="L4" s="20" t="s">
        <v>124</v>
      </c>
      <c r="M4" s="8" t="s">
        <v>208</v>
      </c>
      <c r="N4" s="8" t="s">
        <v>209</v>
      </c>
      <c r="O4" s="8" t="s">
        <v>210</v>
      </c>
      <c r="P4" s="8" t="s">
        <v>211</v>
      </c>
      <c r="Q4" s="8" t="s">
        <v>212</v>
      </c>
      <c r="R4" s="8" t="s">
        <v>213</v>
      </c>
      <c r="S4" s="20" t="s">
        <v>124</v>
      </c>
      <c r="T4" s="8" t="s">
        <v>208</v>
      </c>
      <c r="U4" s="8" t="s">
        <v>209</v>
      </c>
      <c r="V4" s="8" t="s">
        <v>210</v>
      </c>
      <c r="W4" s="8" t="s">
        <v>211</v>
      </c>
      <c r="X4" s="8" t="s">
        <v>212</v>
      </c>
      <c r="Y4" s="8" t="s">
        <v>213</v>
      </c>
      <c r="Z4" s="20" t="s">
        <v>124</v>
      </c>
      <c r="AA4" s="8" t="s">
        <v>208</v>
      </c>
      <c r="AB4" s="8" t="s">
        <v>209</v>
      </c>
      <c r="AC4" s="8" t="s">
        <v>210</v>
      </c>
      <c r="AD4" s="8" t="s">
        <v>211</v>
      </c>
      <c r="AE4" s="8" t="s">
        <v>212</v>
      </c>
      <c r="AF4" s="8" t="s">
        <v>213</v>
      </c>
      <c r="AG4" s="20" t="s">
        <v>124</v>
      </c>
      <c r="AH4" s="8" t="s">
        <v>208</v>
      </c>
      <c r="AI4" s="8" t="s">
        <v>209</v>
      </c>
      <c r="AJ4" s="19"/>
      <c r="AK4" s="19"/>
      <c r="AL4" s="19"/>
      <c r="AM4" s="19"/>
      <c r="AN4" s="19"/>
    </row>
    <row r="5" customFormat="false" ht="15.75" hidden="false" customHeight="true" outlineLevel="0" collapsed="false">
      <c r="A5" s="9" t="n">
        <v>1</v>
      </c>
      <c r="B5" s="9" t="s">
        <v>24</v>
      </c>
      <c r="C5" s="10" t="str">
        <f aca="false">DM_NHAN_VIEN!C4</f>
        <v>Nguyễn Văn Giám Đốc</v>
      </c>
      <c r="D5" s="9" t="str">
        <f aca="false">DM_NHAN_VIEN!D4</f>
        <v>Hành chính</v>
      </c>
      <c r="E5" s="9" t="str">
        <f aca="false">DM_NHAN_VIEN!F4</f>
        <v>Ca Hành Chính</v>
      </c>
      <c r="F5" s="21" t="str">
        <f aca="false">IFERROR(VLOOKUP($B5&amp;"_"&amp;TEXT(DATE(2026,6,1),"yyyymmdd"),CHI_TIET_CHAM_CONG!$T:$U,2,FALSE()),"")</f>
        <v>P</v>
      </c>
      <c r="G5" s="21" t="str">
        <f aca="false">IFERROR(VLOOKUP($B5&amp;"_"&amp;TEXT(DATE(2026,6,2),"yyyymmdd"),CHI_TIET_CHAM_CONG!$T:$U,2,FALSE()),"")</f>
        <v>P</v>
      </c>
      <c r="H5" s="21" t="str">
        <f aca="false">IFERROR(VLOOKUP($B5&amp;"_"&amp;TEXT(DATE(2026,6,3),"yyyymmdd"),CHI_TIET_CHAM_CONG!$T:$U,2,FALSE()),"")</f>
        <v>P</v>
      </c>
      <c r="I5" s="21" t="str">
        <f aca="false">IFERROR(VLOOKUP($B5&amp;"_"&amp;TEXT(DATE(2026,6,4),"yyyymmdd"),CHI_TIET_CHAM_CONG!$T:$U,2,FALSE()),"")</f>
        <v>P</v>
      </c>
      <c r="J5" s="21" t="str">
        <f aca="false">IFERROR(VLOOKUP($B5&amp;"_"&amp;TEXT(DATE(2026,6,5),"yyyymmdd"),CHI_TIET_CHAM_CONG!$T:$U,2,FALSE()),"")</f>
        <v>P</v>
      </c>
      <c r="K5" s="21" t="str">
        <f aca="false">IFERROR(VLOOKUP($B5&amp;"_"&amp;TEXT(DATE(2026,6,6),"yyyymmdd"),CHI_TIET_CHAM_CONG!$T:$U,2,FALSE()),"")</f>
        <v>P</v>
      </c>
      <c r="L5" s="21" t="s">
        <v>124</v>
      </c>
      <c r="M5" s="21" t="str">
        <f aca="false">IFERROR(VLOOKUP($B5&amp;"_"&amp;TEXT(DATE(2026,6,8),"yyyymmdd"),CHI_TIET_CHAM_CONG!$T:$U,2,FALSE()),"")</f>
        <v>P</v>
      </c>
      <c r="N5" s="21" t="str">
        <f aca="false">IFERROR(VLOOKUP($B5&amp;"_"&amp;TEXT(DATE(2026,6,9),"yyyymmdd"),CHI_TIET_CHAM_CONG!$T:$U,2,FALSE()),"")</f>
        <v>P</v>
      </c>
      <c r="O5" s="21" t="str">
        <f aca="false">IFERROR(VLOOKUP($B5&amp;"_"&amp;TEXT(DATE(2026,6,10),"yyyymmdd"),CHI_TIET_CHAM_CONG!$T:$U,2,FALSE()),"")</f>
        <v>P</v>
      </c>
      <c r="P5" s="21" t="str">
        <f aca="false">IFERROR(VLOOKUP($B5&amp;"_"&amp;TEXT(DATE(2026,6,11),"yyyymmdd"),CHI_TIET_CHAM_CONG!$T:$U,2,FALSE()),"")</f>
        <v>KL</v>
      </c>
      <c r="Q5" s="21" t="str">
        <f aca="false">IFERROR(VLOOKUP($B5&amp;"_"&amp;TEXT(DATE(2026,6,12),"yyyymmdd"),CHI_TIET_CHAM_CONG!$T:$U,2,FALSE()),"")</f>
        <v>P</v>
      </c>
      <c r="R5" s="21" t="str">
        <f aca="false">IFERROR(VLOOKUP($B5&amp;"_"&amp;TEXT(DATE(2026,6,13),"yyyymmdd"),CHI_TIET_CHAM_CONG!$T:$U,2,FALSE()),"")</f>
        <v>P</v>
      </c>
      <c r="S5" s="21" t="s">
        <v>124</v>
      </c>
      <c r="T5" s="21" t="str">
        <f aca="false">IFERROR(VLOOKUP($B5&amp;"_"&amp;TEXT(DATE(2026,6,15),"yyyymmdd"),CHI_TIET_CHAM_CONG!$T:$U,2,FALSE()),"")</f>
        <v>P</v>
      </c>
      <c r="U5" s="21" t="str">
        <f aca="false">IFERROR(VLOOKUP($B5&amp;"_"&amp;TEXT(DATE(2026,6,16),"yyyymmdd"),CHI_TIET_CHAM_CONG!$T:$U,2,FALSE()),"")</f>
        <v>L</v>
      </c>
      <c r="V5" s="21" t="str">
        <f aca="false">IFERROR(VLOOKUP($B5&amp;"_"&amp;TEXT(DATE(2026,6,17),"yyyymmdd"),CHI_TIET_CHAM_CONG!$T:$U,2,FALSE()),"")</f>
        <v>P</v>
      </c>
      <c r="W5" s="21" t="str">
        <f aca="false">IFERROR(VLOOKUP($B5&amp;"_"&amp;TEXT(DATE(2026,6,18),"yyyymmdd"),CHI_TIET_CHAM_CONG!$T:$U,2,FALSE()),"")</f>
        <v>P</v>
      </c>
      <c r="X5" s="21" t="str">
        <f aca="false">IFERROR(VLOOKUP($B5&amp;"_"&amp;TEXT(DATE(2026,6,19),"yyyymmdd"),CHI_TIET_CHAM_CONG!$T:$U,2,FALSE()),"")</f>
        <v>P</v>
      </c>
      <c r="Y5" s="21" t="str">
        <f aca="false">IFERROR(VLOOKUP($B5&amp;"_"&amp;TEXT(DATE(2026,6,20),"yyyymmdd"),CHI_TIET_CHAM_CONG!$T:$U,2,FALSE()),"")</f>
        <v>P</v>
      </c>
      <c r="Z5" s="21" t="s">
        <v>124</v>
      </c>
      <c r="AA5" s="21" t="str">
        <f aca="false">IFERROR(VLOOKUP($B5&amp;"_"&amp;TEXT(DATE(2026,6,22),"yyyymmdd"),CHI_TIET_CHAM_CONG!$T:$U,2,FALSE()),"")</f>
        <v>L</v>
      </c>
      <c r="AB5" s="21" t="str">
        <f aca="false">IFERROR(VLOOKUP($B5&amp;"_"&amp;TEXT(DATE(2026,6,23),"yyyymmdd"),CHI_TIET_CHAM_CONG!$T:$U,2,FALSE()),"")</f>
        <v>L</v>
      </c>
      <c r="AC5" s="21" t="str">
        <f aca="false">IFERROR(VLOOKUP($B5&amp;"_"&amp;TEXT(DATE(2026,6,24),"yyyymmdd"),CHI_TIET_CHAM_CONG!$T:$U,2,FALSE()),"")</f>
        <v>NP</v>
      </c>
      <c r="AD5" s="21" t="str">
        <f aca="false">IFERROR(VLOOKUP($B5&amp;"_"&amp;TEXT(DATE(2026,6,25),"yyyymmdd"),CHI_TIET_CHAM_CONG!$T:$U,2,FALSE()),"")</f>
        <v>L</v>
      </c>
      <c r="AE5" s="21" t="str">
        <f aca="false">IFERROR(VLOOKUP($B5&amp;"_"&amp;TEXT(DATE(2026,6,26),"yyyymmdd"),CHI_TIET_CHAM_CONG!$T:$U,2,FALSE()),"")</f>
        <v>A</v>
      </c>
      <c r="AF5" s="21" t="str">
        <f aca="false">IFERROR(VLOOKUP($B5&amp;"_"&amp;TEXT(DATE(2026,6,27),"yyyymmdd"),CHI_TIET_CHAM_CONG!$T:$U,2,FALSE()),"")</f>
        <v>P</v>
      </c>
      <c r="AG5" s="21" t="s">
        <v>124</v>
      </c>
      <c r="AH5" s="21" t="str">
        <f aca="false">IFERROR(VLOOKUP($B5&amp;"_"&amp;TEXT(DATE(2026,6,29),"yyyymmdd"),CHI_TIET_CHAM_CONG!$T:$U,2,FALSE()),"")</f>
        <v>P</v>
      </c>
      <c r="AI5" s="21" t="str">
        <f aca="false">IFERROR(VLOOKUP($B5&amp;"_"&amp;TEXT(DATE(2026,6,30),"yyyymmdd"),CHI_TIET_CHAM_CONG!$T:$U,2,FALSE()),"")</f>
        <v>P</v>
      </c>
      <c r="AJ5" s="22" t="n">
        <f aca="false">COUNTIF(F5:AI5,"P")+COUNTIF(F5:AI5,"L")</f>
        <v>23</v>
      </c>
      <c r="AK5" s="22" t="n">
        <f aca="false">COUNTIF(F5:AI5,"L")</f>
        <v>4</v>
      </c>
      <c r="AL5" s="22" t="n">
        <f aca="false">COUNTIF(F5:AI5,"A")</f>
        <v>1</v>
      </c>
      <c r="AM5" s="22" t="n">
        <f aca="false">COUNTIF(F5:AI5,"NP")+COUNTIF(F5:AI5,"KL")</f>
        <v>2</v>
      </c>
      <c r="AN5" s="23" t="n">
        <f aca="false">SUMIF(CHI_TIET_CHAM_CONG!$B:$B,$B5,CHI_TIET_CHAM_CONG!$Q:$Q)</f>
        <v>2</v>
      </c>
    </row>
    <row r="6" customFormat="false" ht="15.75" hidden="false" customHeight="true" outlineLevel="0" collapsed="false">
      <c r="A6" s="9" t="n">
        <v>2</v>
      </c>
      <c r="B6" s="9" t="s">
        <v>30</v>
      </c>
      <c r="C6" s="10" t="str">
        <f aca="false">DM_NHAN_VIEN!C5</f>
        <v>Trần Thị Nhân Sự</v>
      </c>
      <c r="D6" s="9" t="str">
        <f aca="false">DM_NHAN_VIEN!D5</f>
        <v>Nhân sự</v>
      </c>
      <c r="E6" s="9" t="str">
        <f aca="false">DM_NHAN_VIEN!F5</f>
        <v>Ca Hành Chính</v>
      </c>
      <c r="F6" s="21" t="str">
        <f aca="false">IFERROR(VLOOKUP($B6&amp;"_"&amp;TEXT(DATE(2026,6,1),"yyyymmdd"),CHI_TIET_CHAM_CONG!$T:$U,2,FALSE()),"")</f>
        <v>P</v>
      </c>
      <c r="G6" s="21" t="str">
        <f aca="false">IFERROR(VLOOKUP($B6&amp;"_"&amp;TEXT(DATE(2026,6,2),"yyyymmdd"),CHI_TIET_CHAM_CONG!$T:$U,2,FALSE()),"")</f>
        <v>P</v>
      </c>
      <c r="H6" s="21" t="str">
        <f aca="false">IFERROR(VLOOKUP($B6&amp;"_"&amp;TEXT(DATE(2026,6,3),"yyyymmdd"),CHI_TIET_CHAM_CONG!$T:$U,2,FALSE()),"")</f>
        <v>P</v>
      </c>
      <c r="I6" s="21" t="str">
        <f aca="false">IFERROR(VLOOKUP($B6&amp;"_"&amp;TEXT(DATE(2026,6,4),"yyyymmdd"),CHI_TIET_CHAM_CONG!$T:$U,2,FALSE()),"")</f>
        <v>KL</v>
      </c>
      <c r="J6" s="21" t="str">
        <f aca="false">IFERROR(VLOOKUP($B6&amp;"_"&amp;TEXT(DATE(2026,6,5),"yyyymmdd"),CHI_TIET_CHAM_CONG!$T:$U,2,FALSE()),"")</f>
        <v>L</v>
      </c>
      <c r="K6" s="21" t="str">
        <f aca="false">IFERROR(VLOOKUP($B6&amp;"_"&amp;TEXT(DATE(2026,6,6),"yyyymmdd"),CHI_TIET_CHAM_CONG!$T:$U,2,FALSE()),"")</f>
        <v>P</v>
      </c>
      <c r="L6" s="21" t="s">
        <v>124</v>
      </c>
      <c r="M6" s="21" t="str">
        <f aca="false">IFERROR(VLOOKUP($B6&amp;"_"&amp;TEXT(DATE(2026,6,8),"yyyymmdd"),CHI_TIET_CHAM_CONG!$T:$U,2,FALSE()),"")</f>
        <v>P</v>
      </c>
      <c r="N6" s="21" t="str">
        <f aca="false">IFERROR(VLOOKUP($B6&amp;"_"&amp;TEXT(DATE(2026,6,9),"yyyymmdd"),CHI_TIET_CHAM_CONG!$T:$U,2,FALSE()),"")</f>
        <v>P</v>
      </c>
      <c r="O6" s="21" t="str">
        <f aca="false">IFERROR(VLOOKUP($B6&amp;"_"&amp;TEXT(DATE(2026,6,10),"yyyymmdd"),CHI_TIET_CHAM_CONG!$T:$U,2,FALSE()),"")</f>
        <v>P</v>
      </c>
      <c r="P6" s="21" t="str">
        <f aca="false">IFERROR(VLOOKUP($B6&amp;"_"&amp;TEXT(DATE(2026,6,11),"yyyymmdd"),CHI_TIET_CHAM_CONG!$T:$U,2,FALSE()),"")</f>
        <v>P</v>
      </c>
      <c r="Q6" s="21" t="str">
        <f aca="false">IFERROR(VLOOKUP($B6&amp;"_"&amp;TEXT(DATE(2026,6,12),"yyyymmdd"),CHI_TIET_CHAM_CONG!$T:$U,2,FALSE()),"")</f>
        <v>P</v>
      </c>
      <c r="R6" s="21" t="str">
        <f aca="false">IFERROR(VLOOKUP($B6&amp;"_"&amp;TEXT(DATE(2026,6,13),"yyyymmdd"),CHI_TIET_CHAM_CONG!$T:$U,2,FALSE()),"")</f>
        <v>L</v>
      </c>
      <c r="S6" s="21" t="s">
        <v>124</v>
      </c>
      <c r="T6" s="21" t="str">
        <f aca="false">IFERROR(VLOOKUP($B6&amp;"_"&amp;TEXT(DATE(2026,6,15),"yyyymmdd"),CHI_TIET_CHAM_CONG!$T:$U,2,FALSE()),"")</f>
        <v>P</v>
      </c>
      <c r="U6" s="21" t="str">
        <f aca="false">IFERROR(VLOOKUP($B6&amp;"_"&amp;TEXT(DATE(2026,6,16),"yyyymmdd"),CHI_TIET_CHAM_CONG!$T:$U,2,FALSE()),"")</f>
        <v>L</v>
      </c>
      <c r="V6" s="21" t="str">
        <f aca="false">IFERROR(VLOOKUP($B6&amp;"_"&amp;TEXT(DATE(2026,6,17),"yyyymmdd"),CHI_TIET_CHAM_CONG!$T:$U,2,FALSE()),"")</f>
        <v>P</v>
      </c>
      <c r="W6" s="21" t="str">
        <f aca="false">IFERROR(VLOOKUP($B6&amp;"_"&amp;TEXT(DATE(2026,6,18),"yyyymmdd"),CHI_TIET_CHAM_CONG!$T:$U,2,FALSE()),"")</f>
        <v>L</v>
      </c>
      <c r="X6" s="21" t="str">
        <f aca="false">IFERROR(VLOOKUP($B6&amp;"_"&amp;TEXT(DATE(2026,6,19),"yyyymmdd"),CHI_TIET_CHAM_CONG!$T:$U,2,FALSE()),"")</f>
        <v>P</v>
      </c>
      <c r="Y6" s="21" t="str">
        <f aca="false">IFERROR(VLOOKUP($B6&amp;"_"&amp;TEXT(DATE(2026,6,20),"yyyymmdd"),CHI_TIET_CHAM_CONG!$T:$U,2,FALSE()),"")</f>
        <v>P</v>
      </c>
      <c r="Z6" s="21" t="s">
        <v>124</v>
      </c>
      <c r="AA6" s="21" t="str">
        <f aca="false">IFERROR(VLOOKUP($B6&amp;"_"&amp;TEXT(DATE(2026,6,22),"yyyymmdd"),CHI_TIET_CHAM_CONG!$T:$U,2,FALSE()),"")</f>
        <v>P</v>
      </c>
      <c r="AB6" s="21" t="str">
        <f aca="false">IFERROR(VLOOKUP($B6&amp;"_"&amp;TEXT(DATE(2026,6,23),"yyyymmdd"),CHI_TIET_CHAM_CONG!$T:$U,2,FALSE()),"")</f>
        <v>P</v>
      </c>
      <c r="AC6" s="21" t="str">
        <f aca="false">IFERROR(VLOOKUP($B6&amp;"_"&amp;TEXT(DATE(2026,6,24),"yyyymmdd"),CHI_TIET_CHAM_CONG!$T:$U,2,FALSE()),"")</f>
        <v>A</v>
      </c>
      <c r="AD6" s="21" t="str">
        <f aca="false">IFERROR(VLOOKUP($B6&amp;"_"&amp;TEXT(DATE(2026,6,25),"yyyymmdd"),CHI_TIET_CHAM_CONG!$T:$U,2,FALSE()),"")</f>
        <v>P</v>
      </c>
      <c r="AE6" s="21" t="str">
        <f aca="false">IFERROR(VLOOKUP($B6&amp;"_"&amp;TEXT(DATE(2026,6,26),"yyyymmdd"),CHI_TIET_CHAM_CONG!$T:$U,2,FALSE()),"")</f>
        <v>P</v>
      </c>
      <c r="AF6" s="21" t="str">
        <f aca="false">IFERROR(VLOOKUP($B6&amp;"_"&amp;TEXT(DATE(2026,6,27),"yyyymmdd"),CHI_TIET_CHAM_CONG!$T:$U,2,FALSE()),"")</f>
        <v>P</v>
      </c>
      <c r="AG6" s="21" t="s">
        <v>124</v>
      </c>
      <c r="AH6" s="21" t="str">
        <f aca="false">IFERROR(VLOOKUP($B6&amp;"_"&amp;TEXT(DATE(2026,6,29),"yyyymmdd"),CHI_TIET_CHAM_CONG!$T:$U,2,FALSE()),"")</f>
        <v>P</v>
      </c>
      <c r="AI6" s="21" t="str">
        <f aca="false">IFERROR(VLOOKUP($B6&amp;"_"&amp;TEXT(DATE(2026,6,30),"yyyymmdd"),CHI_TIET_CHAM_CONG!$T:$U,2,FALSE()),"")</f>
        <v>KL</v>
      </c>
      <c r="AJ6" s="22" t="n">
        <f aca="false">COUNTIF(F6:AI6,"P")+COUNTIF(F6:AI6,"L")</f>
        <v>23</v>
      </c>
      <c r="AK6" s="22" t="n">
        <f aca="false">COUNTIF(F6:AI6,"L")</f>
        <v>4</v>
      </c>
      <c r="AL6" s="22" t="n">
        <f aca="false">COUNTIF(F6:AI6,"A")</f>
        <v>1</v>
      </c>
      <c r="AM6" s="22" t="n">
        <f aca="false">COUNTIF(F6:AI6,"NP")+COUNTIF(F6:AI6,"KL")</f>
        <v>2</v>
      </c>
      <c r="AN6" s="23" t="n">
        <f aca="false">SUMIF(CHI_TIET_CHAM_CONG!$B:$B,$B6,CHI_TIET_CHAM_CONG!$Q:$Q)</f>
        <v>5</v>
      </c>
    </row>
    <row r="7" customFormat="false" ht="15.75" hidden="false" customHeight="true" outlineLevel="0" collapsed="false">
      <c r="A7" s="9" t="n">
        <v>3</v>
      </c>
      <c r="B7" s="9" t="s">
        <v>35</v>
      </c>
      <c r="C7" s="10" t="str">
        <f aca="false">DM_NHAN_VIEN!C6</f>
        <v>Lê Văn Quản Đốc</v>
      </c>
      <c r="D7" s="9" t="str">
        <f aca="false">DM_NHAN_VIEN!D6</f>
        <v>Xưởng sản xuất</v>
      </c>
      <c r="E7" s="9" t="str">
        <f aca="false">DM_NHAN_VIEN!F6</f>
        <v>Ca Hành Chính</v>
      </c>
      <c r="F7" s="21" t="str">
        <f aca="false">IFERROR(VLOOKUP($B7&amp;"_"&amp;TEXT(DATE(2026,6,1),"yyyymmdd"),CHI_TIET_CHAM_CONG!$T:$U,2,FALSE()),"")</f>
        <v>P</v>
      </c>
      <c r="G7" s="21" t="str">
        <f aca="false">IFERROR(VLOOKUP($B7&amp;"_"&amp;TEXT(DATE(2026,6,2),"yyyymmdd"),CHI_TIET_CHAM_CONG!$T:$U,2,FALSE()),"")</f>
        <v>P</v>
      </c>
      <c r="H7" s="21" t="str">
        <f aca="false">IFERROR(VLOOKUP($B7&amp;"_"&amp;TEXT(DATE(2026,6,3),"yyyymmdd"),CHI_TIET_CHAM_CONG!$T:$U,2,FALSE()),"")</f>
        <v>P</v>
      </c>
      <c r="I7" s="21" t="str">
        <f aca="false">IFERROR(VLOOKUP($B7&amp;"_"&amp;TEXT(DATE(2026,6,4),"yyyymmdd"),CHI_TIET_CHAM_CONG!$T:$U,2,FALSE()),"")</f>
        <v>L</v>
      </c>
      <c r="J7" s="21" t="str">
        <f aca="false">IFERROR(VLOOKUP($B7&amp;"_"&amp;TEXT(DATE(2026,6,5),"yyyymmdd"),CHI_TIET_CHAM_CONG!$T:$U,2,FALSE()),"")</f>
        <v>NP</v>
      </c>
      <c r="K7" s="21" t="str">
        <f aca="false">IFERROR(VLOOKUP($B7&amp;"_"&amp;TEXT(DATE(2026,6,6),"yyyymmdd"),CHI_TIET_CHAM_CONG!$T:$U,2,FALSE()),"")</f>
        <v>A</v>
      </c>
      <c r="L7" s="21" t="s">
        <v>124</v>
      </c>
      <c r="M7" s="21" t="str">
        <f aca="false">IFERROR(VLOOKUP($B7&amp;"_"&amp;TEXT(DATE(2026,6,8),"yyyymmdd"),CHI_TIET_CHAM_CONG!$T:$U,2,FALSE()),"")</f>
        <v>P</v>
      </c>
      <c r="N7" s="21" t="str">
        <f aca="false">IFERROR(VLOOKUP($B7&amp;"_"&amp;TEXT(DATE(2026,6,9),"yyyymmdd"),CHI_TIET_CHAM_CONG!$T:$U,2,FALSE()),"")</f>
        <v>P</v>
      </c>
      <c r="O7" s="21" t="str">
        <f aca="false">IFERROR(VLOOKUP($B7&amp;"_"&amp;TEXT(DATE(2026,6,10),"yyyymmdd"),CHI_TIET_CHAM_CONG!$T:$U,2,FALSE()),"")</f>
        <v>KL</v>
      </c>
      <c r="P7" s="21" t="str">
        <f aca="false">IFERROR(VLOOKUP($B7&amp;"_"&amp;TEXT(DATE(2026,6,11),"yyyymmdd"),CHI_TIET_CHAM_CONG!$T:$U,2,FALSE()),"")</f>
        <v>P</v>
      </c>
      <c r="Q7" s="21" t="str">
        <f aca="false">IFERROR(VLOOKUP($B7&amp;"_"&amp;TEXT(DATE(2026,6,12),"yyyymmdd"),CHI_TIET_CHAM_CONG!$T:$U,2,FALSE()),"")</f>
        <v>NP</v>
      </c>
      <c r="R7" s="21" t="str">
        <f aca="false">IFERROR(VLOOKUP($B7&amp;"_"&amp;TEXT(DATE(2026,6,13),"yyyymmdd"),CHI_TIET_CHAM_CONG!$T:$U,2,FALSE()),"")</f>
        <v>KL</v>
      </c>
      <c r="S7" s="21" t="s">
        <v>124</v>
      </c>
      <c r="T7" s="21" t="str">
        <f aca="false">IFERROR(VLOOKUP($B7&amp;"_"&amp;TEXT(DATE(2026,6,15),"yyyymmdd"),CHI_TIET_CHAM_CONG!$T:$U,2,FALSE()),"")</f>
        <v>P</v>
      </c>
      <c r="U7" s="21" t="str">
        <f aca="false">IFERROR(VLOOKUP($B7&amp;"_"&amp;TEXT(DATE(2026,6,16),"yyyymmdd"),CHI_TIET_CHAM_CONG!$T:$U,2,FALSE()),"")</f>
        <v>P</v>
      </c>
      <c r="V7" s="21" t="str">
        <f aca="false">IFERROR(VLOOKUP($B7&amp;"_"&amp;TEXT(DATE(2026,6,17),"yyyymmdd"),CHI_TIET_CHAM_CONG!$T:$U,2,FALSE()),"")</f>
        <v>P</v>
      </c>
      <c r="W7" s="21" t="str">
        <f aca="false">IFERROR(VLOOKUP($B7&amp;"_"&amp;TEXT(DATE(2026,6,18),"yyyymmdd"),CHI_TIET_CHAM_CONG!$T:$U,2,FALSE()),"")</f>
        <v>L</v>
      </c>
      <c r="X7" s="21" t="str">
        <f aca="false">IFERROR(VLOOKUP($B7&amp;"_"&amp;TEXT(DATE(2026,6,19),"yyyymmdd"),CHI_TIET_CHAM_CONG!$T:$U,2,FALSE()),"")</f>
        <v>P</v>
      </c>
      <c r="Y7" s="21" t="str">
        <f aca="false">IFERROR(VLOOKUP($B7&amp;"_"&amp;TEXT(DATE(2026,6,20),"yyyymmdd"),CHI_TIET_CHAM_CONG!$T:$U,2,FALSE()),"")</f>
        <v>NP</v>
      </c>
      <c r="Z7" s="21" t="s">
        <v>124</v>
      </c>
      <c r="AA7" s="21" t="str">
        <f aca="false">IFERROR(VLOOKUP($B7&amp;"_"&amp;TEXT(DATE(2026,6,22),"yyyymmdd"),CHI_TIET_CHAM_CONG!$T:$U,2,FALSE()),"")</f>
        <v>P</v>
      </c>
      <c r="AB7" s="21" t="str">
        <f aca="false">IFERROR(VLOOKUP($B7&amp;"_"&amp;TEXT(DATE(2026,6,23),"yyyymmdd"),CHI_TIET_CHAM_CONG!$T:$U,2,FALSE()),"")</f>
        <v>P</v>
      </c>
      <c r="AC7" s="21" t="str">
        <f aca="false">IFERROR(VLOOKUP($B7&amp;"_"&amp;TEXT(DATE(2026,6,24),"yyyymmdd"),CHI_TIET_CHAM_CONG!$T:$U,2,FALSE()),"")</f>
        <v>P</v>
      </c>
      <c r="AD7" s="21" t="str">
        <f aca="false">IFERROR(VLOOKUP($B7&amp;"_"&amp;TEXT(DATE(2026,6,25),"yyyymmdd"),CHI_TIET_CHAM_CONG!$T:$U,2,FALSE()),"")</f>
        <v>P</v>
      </c>
      <c r="AE7" s="21" t="str">
        <f aca="false">IFERROR(VLOOKUP($B7&amp;"_"&amp;TEXT(DATE(2026,6,26),"yyyymmdd"),CHI_TIET_CHAM_CONG!$T:$U,2,FALSE()),"")</f>
        <v>A</v>
      </c>
      <c r="AF7" s="21" t="str">
        <f aca="false">IFERROR(VLOOKUP($B7&amp;"_"&amp;TEXT(DATE(2026,6,27),"yyyymmdd"),CHI_TIET_CHAM_CONG!$T:$U,2,FALSE()),"")</f>
        <v>P</v>
      </c>
      <c r="AG7" s="21" t="s">
        <v>124</v>
      </c>
      <c r="AH7" s="21" t="str">
        <f aca="false">IFERROR(VLOOKUP($B7&amp;"_"&amp;TEXT(DATE(2026,6,29),"yyyymmdd"),CHI_TIET_CHAM_CONG!$T:$U,2,FALSE()),"")</f>
        <v>P</v>
      </c>
      <c r="AI7" s="21" t="str">
        <f aca="false">IFERROR(VLOOKUP($B7&amp;"_"&amp;TEXT(DATE(2026,6,30),"yyyymmdd"),CHI_TIET_CHAM_CONG!$T:$U,2,FALSE()),"")</f>
        <v>P</v>
      </c>
      <c r="AJ7" s="22" t="n">
        <f aca="false">COUNTIF(F7:AI7,"P")+COUNTIF(F7:AI7,"L")</f>
        <v>19</v>
      </c>
      <c r="AK7" s="22" t="n">
        <f aca="false">COUNTIF(F7:AI7,"L")</f>
        <v>2</v>
      </c>
      <c r="AL7" s="22" t="n">
        <f aca="false">COUNTIF(F7:AI7,"A")</f>
        <v>2</v>
      </c>
      <c r="AM7" s="22" t="n">
        <f aca="false">COUNTIF(F7:AI7,"NP")+COUNTIF(F7:AI7,"KL")</f>
        <v>5</v>
      </c>
      <c r="AN7" s="23" t="n">
        <f aca="false">SUMIF(CHI_TIET_CHAM_CONG!$B:$B,$B7,CHI_TIET_CHAM_CONG!$Q:$Q)</f>
        <v>4.5</v>
      </c>
    </row>
    <row r="8" customFormat="false" ht="15.75" hidden="false" customHeight="true" outlineLevel="0" collapsed="false">
      <c r="A8" s="9" t="n">
        <v>4</v>
      </c>
      <c r="B8" s="9" t="s">
        <v>40</v>
      </c>
      <c r="C8" s="10" t="str">
        <f aca="false">DM_NHAN_VIEN!C7</f>
        <v>Phạm Công Nhân</v>
      </c>
      <c r="D8" s="9" t="str">
        <f aca="false">DM_NHAN_VIEN!D7</f>
        <v>Xưởng sản xuất</v>
      </c>
      <c r="E8" s="9" t="str">
        <f aca="false">DM_NHAN_VIEN!F7</f>
        <v>Ca Hành Chính</v>
      </c>
      <c r="F8" s="21" t="str">
        <f aca="false">IFERROR(VLOOKUP($B8&amp;"_"&amp;TEXT(DATE(2026,6,1),"yyyymmdd"),CHI_TIET_CHAM_CONG!$T:$U,2,FALSE()),"")</f>
        <v>P</v>
      </c>
      <c r="G8" s="21" t="str">
        <f aca="false">IFERROR(VLOOKUP($B8&amp;"_"&amp;TEXT(DATE(2026,6,2),"yyyymmdd"),CHI_TIET_CHAM_CONG!$T:$U,2,FALSE()),"")</f>
        <v>P</v>
      </c>
      <c r="H8" s="21" t="str">
        <f aca="false">IFERROR(VLOOKUP($B8&amp;"_"&amp;TEXT(DATE(2026,6,3),"yyyymmdd"),CHI_TIET_CHAM_CONG!$T:$U,2,FALSE()),"")</f>
        <v>P</v>
      </c>
      <c r="I8" s="21" t="str">
        <f aca="false">IFERROR(VLOOKUP($B8&amp;"_"&amp;TEXT(DATE(2026,6,4),"yyyymmdd"),CHI_TIET_CHAM_CONG!$T:$U,2,FALSE()),"")</f>
        <v>P</v>
      </c>
      <c r="J8" s="21" t="str">
        <f aca="false">IFERROR(VLOOKUP($B8&amp;"_"&amp;TEXT(DATE(2026,6,5),"yyyymmdd"),CHI_TIET_CHAM_CONG!$T:$U,2,FALSE()),"")</f>
        <v>P</v>
      </c>
      <c r="K8" s="21" t="str">
        <f aca="false">IFERROR(VLOOKUP($B8&amp;"_"&amp;TEXT(DATE(2026,6,6),"yyyymmdd"),CHI_TIET_CHAM_CONG!$T:$U,2,FALSE()),"")</f>
        <v>P</v>
      </c>
      <c r="L8" s="21" t="s">
        <v>124</v>
      </c>
      <c r="M8" s="21" t="str">
        <f aca="false">IFERROR(VLOOKUP($B8&amp;"_"&amp;TEXT(DATE(2026,6,8),"yyyymmdd"),CHI_TIET_CHAM_CONG!$T:$U,2,FALSE()),"")</f>
        <v>L</v>
      </c>
      <c r="N8" s="21" t="str">
        <f aca="false">IFERROR(VLOOKUP($B8&amp;"_"&amp;TEXT(DATE(2026,6,9),"yyyymmdd"),CHI_TIET_CHAM_CONG!$T:$U,2,FALSE()),"")</f>
        <v>P</v>
      </c>
      <c r="O8" s="21" t="str">
        <f aca="false">IFERROR(VLOOKUP($B8&amp;"_"&amp;TEXT(DATE(2026,6,10),"yyyymmdd"),CHI_TIET_CHAM_CONG!$T:$U,2,FALSE()),"")</f>
        <v>P</v>
      </c>
      <c r="P8" s="21" t="str">
        <f aca="false">IFERROR(VLOOKUP($B8&amp;"_"&amp;TEXT(DATE(2026,6,11),"yyyymmdd"),CHI_TIET_CHAM_CONG!$T:$U,2,FALSE()),"")</f>
        <v>P</v>
      </c>
      <c r="Q8" s="21" t="str">
        <f aca="false">IFERROR(VLOOKUP($B8&amp;"_"&amp;TEXT(DATE(2026,6,12),"yyyymmdd"),CHI_TIET_CHAM_CONG!$T:$U,2,FALSE()),"")</f>
        <v>P</v>
      </c>
      <c r="R8" s="21" t="str">
        <f aca="false">IFERROR(VLOOKUP($B8&amp;"_"&amp;TEXT(DATE(2026,6,13),"yyyymmdd"),CHI_TIET_CHAM_CONG!$T:$U,2,FALSE()),"")</f>
        <v>P</v>
      </c>
      <c r="S8" s="21" t="s">
        <v>124</v>
      </c>
      <c r="T8" s="21" t="str">
        <f aca="false">IFERROR(VLOOKUP($B8&amp;"_"&amp;TEXT(DATE(2026,6,15),"yyyymmdd"),CHI_TIET_CHAM_CONG!$T:$U,2,FALSE()),"")</f>
        <v>P</v>
      </c>
      <c r="U8" s="21" t="str">
        <f aca="false">IFERROR(VLOOKUP($B8&amp;"_"&amp;TEXT(DATE(2026,6,16),"yyyymmdd"),CHI_TIET_CHAM_CONG!$T:$U,2,FALSE()),"")</f>
        <v>P</v>
      </c>
      <c r="V8" s="21" t="str">
        <f aca="false">IFERROR(VLOOKUP($B8&amp;"_"&amp;TEXT(DATE(2026,6,17),"yyyymmdd"),CHI_TIET_CHAM_CONG!$T:$U,2,FALSE()),"")</f>
        <v>P</v>
      </c>
      <c r="W8" s="21" t="str">
        <f aca="false">IFERROR(VLOOKUP($B8&amp;"_"&amp;TEXT(DATE(2026,6,18),"yyyymmdd"),CHI_TIET_CHAM_CONG!$T:$U,2,FALSE()),"")</f>
        <v>L</v>
      </c>
      <c r="X8" s="21" t="str">
        <f aca="false">IFERROR(VLOOKUP($B8&amp;"_"&amp;TEXT(DATE(2026,6,19),"yyyymmdd"),CHI_TIET_CHAM_CONG!$T:$U,2,FALSE()),"")</f>
        <v>P</v>
      </c>
      <c r="Y8" s="21" t="str">
        <f aca="false">IFERROR(VLOOKUP($B8&amp;"_"&amp;TEXT(DATE(2026,6,20),"yyyymmdd"),CHI_TIET_CHAM_CONG!$T:$U,2,FALSE()),"")</f>
        <v>P</v>
      </c>
      <c r="Z8" s="21" t="s">
        <v>124</v>
      </c>
      <c r="AA8" s="21" t="str">
        <f aca="false">IFERROR(VLOOKUP($B8&amp;"_"&amp;TEXT(DATE(2026,6,22),"yyyymmdd"),CHI_TIET_CHAM_CONG!$T:$U,2,FALSE()),"")</f>
        <v>P</v>
      </c>
      <c r="AB8" s="21" t="str">
        <f aca="false">IFERROR(VLOOKUP($B8&amp;"_"&amp;TEXT(DATE(2026,6,23),"yyyymmdd"),CHI_TIET_CHAM_CONG!$T:$U,2,FALSE()),"")</f>
        <v>P</v>
      </c>
      <c r="AC8" s="21" t="str">
        <f aca="false">IFERROR(VLOOKUP($B8&amp;"_"&amp;TEXT(DATE(2026,6,24),"yyyymmdd"),CHI_TIET_CHAM_CONG!$T:$U,2,FALSE()),"")</f>
        <v>P</v>
      </c>
      <c r="AD8" s="21" t="str">
        <f aca="false">IFERROR(VLOOKUP($B8&amp;"_"&amp;TEXT(DATE(2026,6,25),"yyyymmdd"),CHI_TIET_CHAM_CONG!$T:$U,2,FALSE()),"")</f>
        <v>P</v>
      </c>
      <c r="AE8" s="21" t="str">
        <f aca="false">IFERROR(VLOOKUP($B8&amp;"_"&amp;TEXT(DATE(2026,6,26),"yyyymmdd"),CHI_TIET_CHAM_CONG!$T:$U,2,FALSE()),"")</f>
        <v>KL</v>
      </c>
      <c r="AF8" s="21" t="str">
        <f aca="false">IFERROR(VLOOKUP($B8&amp;"_"&amp;TEXT(DATE(2026,6,27),"yyyymmdd"),CHI_TIET_CHAM_CONG!$T:$U,2,FALSE()),"")</f>
        <v>P</v>
      </c>
      <c r="AG8" s="21" t="s">
        <v>124</v>
      </c>
      <c r="AH8" s="21" t="str">
        <f aca="false">IFERROR(VLOOKUP($B8&amp;"_"&amp;TEXT(DATE(2026,6,29),"yyyymmdd"),CHI_TIET_CHAM_CONG!$T:$U,2,FALSE()),"")</f>
        <v>P</v>
      </c>
      <c r="AI8" s="21" t="str">
        <f aca="false">IFERROR(VLOOKUP($B8&amp;"_"&amp;TEXT(DATE(2026,6,30),"yyyymmdd"),CHI_TIET_CHAM_CONG!$T:$U,2,FALSE()),"")</f>
        <v>P</v>
      </c>
      <c r="AJ8" s="22" t="n">
        <f aca="false">COUNTIF(F8:AI8,"P")+COUNTIF(F8:AI8,"L")</f>
        <v>25</v>
      </c>
      <c r="AK8" s="22" t="n">
        <f aca="false">COUNTIF(F8:AI8,"L")</f>
        <v>2</v>
      </c>
      <c r="AL8" s="22" t="n">
        <f aca="false">COUNTIF(F8:AI8,"A")</f>
        <v>0</v>
      </c>
      <c r="AM8" s="22" t="n">
        <f aca="false">COUNTIF(F8:AI8,"NP")+COUNTIF(F8:AI8,"KL")</f>
        <v>1</v>
      </c>
      <c r="AN8" s="23" t="n">
        <f aca="false">SUMIF(CHI_TIET_CHAM_CONG!$B:$B,$B8,CHI_TIET_CHAM_CONG!$Q:$Q)</f>
        <v>3</v>
      </c>
    </row>
    <row r="9" customFormat="false" ht="15.75" hidden="false" customHeight="true" outlineLevel="0" collapsed="false">
      <c r="A9" s="9" t="n">
        <v>5</v>
      </c>
      <c r="B9" s="9" t="s">
        <v>44</v>
      </c>
      <c r="C9" s="10" t="str">
        <f aca="false">DM_NHAN_VIEN!C8</f>
        <v>Đỗ Thị Hà</v>
      </c>
      <c r="D9" s="9" t="str">
        <f aca="false">DM_NHAN_VIEN!D8</f>
        <v>Hành chính</v>
      </c>
      <c r="E9" s="9" t="str">
        <f aca="false">DM_NHAN_VIEN!F8</f>
        <v>Ca Hành Chính</v>
      </c>
      <c r="F9" s="21" t="str">
        <f aca="false">IFERROR(VLOOKUP($B9&amp;"_"&amp;TEXT(DATE(2026,6,1),"yyyymmdd"),CHI_TIET_CHAM_CONG!$T:$U,2,FALSE()),"")</f>
        <v>P</v>
      </c>
      <c r="G9" s="21" t="str">
        <f aca="false">IFERROR(VLOOKUP($B9&amp;"_"&amp;TEXT(DATE(2026,6,2),"yyyymmdd"),CHI_TIET_CHAM_CONG!$T:$U,2,FALSE()),"")</f>
        <v>P</v>
      </c>
      <c r="H9" s="21" t="str">
        <f aca="false">IFERROR(VLOOKUP($B9&amp;"_"&amp;TEXT(DATE(2026,6,3),"yyyymmdd"),CHI_TIET_CHAM_CONG!$T:$U,2,FALSE()),"")</f>
        <v>P</v>
      </c>
      <c r="I9" s="21" t="str">
        <f aca="false">IFERROR(VLOOKUP($B9&amp;"_"&amp;TEXT(DATE(2026,6,4),"yyyymmdd"),CHI_TIET_CHAM_CONG!$T:$U,2,FALSE()),"")</f>
        <v>P</v>
      </c>
      <c r="J9" s="21" t="str">
        <f aca="false">IFERROR(VLOOKUP($B9&amp;"_"&amp;TEXT(DATE(2026,6,5),"yyyymmdd"),CHI_TIET_CHAM_CONG!$T:$U,2,FALSE()),"")</f>
        <v>P</v>
      </c>
      <c r="K9" s="21" t="str">
        <f aca="false">IFERROR(VLOOKUP($B9&amp;"_"&amp;TEXT(DATE(2026,6,6),"yyyymmdd"),CHI_TIET_CHAM_CONG!$T:$U,2,FALSE()),"")</f>
        <v>P</v>
      </c>
      <c r="L9" s="21" t="s">
        <v>124</v>
      </c>
      <c r="M9" s="21" t="str">
        <f aca="false">IFERROR(VLOOKUP($B9&amp;"_"&amp;TEXT(DATE(2026,6,8),"yyyymmdd"),CHI_TIET_CHAM_CONG!$T:$U,2,FALSE()),"")</f>
        <v>L</v>
      </c>
      <c r="N9" s="21" t="str">
        <f aca="false">IFERROR(VLOOKUP($B9&amp;"_"&amp;TEXT(DATE(2026,6,9),"yyyymmdd"),CHI_TIET_CHAM_CONG!$T:$U,2,FALSE()),"")</f>
        <v>P</v>
      </c>
      <c r="O9" s="21" t="str">
        <f aca="false">IFERROR(VLOOKUP($B9&amp;"_"&amp;TEXT(DATE(2026,6,10),"yyyymmdd"),CHI_TIET_CHAM_CONG!$T:$U,2,FALSE()),"")</f>
        <v>P</v>
      </c>
      <c r="P9" s="21" t="str">
        <f aca="false">IFERROR(VLOOKUP($B9&amp;"_"&amp;TEXT(DATE(2026,6,11),"yyyymmdd"),CHI_TIET_CHAM_CONG!$T:$U,2,FALSE()),"")</f>
        <v>NP</v>
      </c>
      <c r="Q9" s="21" t="str">
        <f aca="false">IFERROR(VLOOKUP($B9&amp;"_"&amp;TEXT(DATE(2026,6,12),"yyyymmdd"),CHI_TIET_CHAM_CONG!$T:$U,2,FALSE()),"")</f>
        <v>P</v>
      </c>
      <c r="R9" s="21" t="str">
        <f aca="false">IFERROR(VLOOKUP($B9&amp;"_"&amp;TEXT(DATE(2026,6,13),"yyyymmdd"),CHI_TIET_CHAM_CONG!$T:$U,2,FALSE()),"")</f>
        <v>P</v>
      </c>
      <c r="S9" s="21" t="s">
        <v>124</v>
      </c>
      <c r="T9" s="21" t="str">
        <f aca="false">IFERROR(VLOOKUP($B9&amp;"_"&amp;TEXT(DATE(2026,6,15),"yyyymmdd"),CHI_TIET_CHAM_CONG!$T:$U,2,FALSE()),"")</f>
        <v>P</v>
      </c>
      <c r="U9" s="21" t="str">
        <f aca="false">IFERROR(VLOOKUP($B9&amp;"_"&amp;TEXT(DATE(2026,6,16),"yyyymmdd"),CHI_TIET_CHAM_CONG!$T:$U,2,FALSE()),"")</f>
        <v>P</v>
      </c>
      <c r="V9" s="21" t="str">
        <f aca="false">IFERROR(VLOOKUP($B9&amp;"_"&amp;TEXT(DATE(2026,6,17),"yyyymmdd"),CHI_TIET_CHAM_CONG!$T:$U,2,FALSE()),"")</f>
        <v>P</v>
      </c>
      <c r="W9" s="21" t="str">
        <f aca="false">IFERROR(VLOOKUP($B9&amp;"_"&amp;TEXT(DATE(2026,6,18),"yyyymmdd"),CHI_TIET_CHAM_CONG!$T:$U,2,FALSE()),"")</f>
        <v>P</v>
      </c>
      <c r="X9" s="21" t="str">
        <f aca="false">IFERROR(VLOOKUP($B9&amp;"_"&amp;TEXT(DATE(2026,6,19),"yyyymmdd"),CHI_TIET_CHAM_CONG!$T:$U,2,FALSE()),"")</f>
        <v>L</v>
      </c>
      <c r="Y9" s="21" t="str">
        <f aca="false">IFERROR(VLOOKUP($B9&amp;"_"&amp;TEXT(DATE(2026,6,20),"yyyymmdd"),CHI_TIET_CHAM_CONG!$T:$U,2,FALSE()),"")</f>
        <v>L</v>
      </c>
      <c r="Z9" s="21" t="s">
        <v>124</v>
      </c>
      <c r="AA9" s="21" t="str">
        <f aca="false">IFERROR(VLOOKUP($B9&amp;"_"&amp;TEXT(DATE(2026,6,22),"yyyymmdd"),CHI_TIET_CHAM_CONG!$T:$U,2,FALSE()),"")</f>
        <v>P</v>
      </c>
      <c r="AB9" s="21" t="str">
        <f aca="false">IFERROR(VLOOKUP($B9&amp;"_"&amp;TEXT(DATE(2026,6,23),"yyyymmdd"),CHI_TIET_CHAM_CONG!$T:$U,2,FALSE()),"")</f>
        <v>A</v>
      </c>
      <c r="AC9" s="21" t="str">
        <f aca="false">IFERROR(VLOOKUP($B9&amp;"_"&amp;TEXT(DATE(2026,6,24),"yyyymmdd"),CHI_TIET_CHAM_CONG!$T:$U,2,FALSE()),"")</f>
        <v>L</v>
      </c>
      <c r="AD9" s="21" t="str">
        <f aca="false">IFERROR(VLOOKUP($B9&amp;"_"&amp;TEXT(DATE(2026,6,25),"yyyymmdd"),CHI_TIET_CHAM_CONG!$T:$U,2,FALSE()),"")</f>
        <v>P</v>
      </c>
      <c r="AE9" s="21" t="str">
        <f aca="false">IFERROR(VLOOKUP($B9&amp;"_"&amp;TEXT(DATE(2026,6,26),"yyyymmdd"),CHI_TIET_CHAM_CONG!$T:$U,2,FALSE()),"")</f>
        <v>P</v>
      </c>
      <c r="AF9" s="21" t="str">
        <f aca="false">IFERROR(VLOOKUP($B9&amp;"_"&amp;TEXT(DATE(2026,6,27),"yyyymmdd"),CHI_TIET_CHAM_CONG!$T:$U,2,FALSE()),"")</f>
        <v>P</v>
      </c>
      <c r="AG9" s="21" t="s">
        <v>124</v>
      </c>
      <c r="AH9" s="21" t="str">
        <f aca="false">IFERROR(VLOOKUP($B9&amp;"_"&amp;TEXT(DATE(2026,6,29),"yyyymmdd"),CHI_TIET_CHAM_CONG!$T:$U,2,FALSE()),"")</f>
        <v>P</v>
      </c>
      <c r="AI9" s="21" t="str">
        <f aca="false">IFERROR(VLOOKUP($B9&amp;"_"&amp;TEXT(DATE(2026,6,30),"yyyymmdd"),CHI_TIET_CHAM_CONG!$T:$U,2,FALSE()),"")</f>
        <v>P</v>
      </c>
      <c r="AJ9" s="22" t="n">
        <f aca="false">COUNTIF(F9:AI9,"P")+COUNTIF(F9:AI9,"L")</f>
        <v>24</v>
      </c>
      <c r="AK9" s="22" t="n">
        <f aca="false">COUNTIF(F9:AI9,"L")</f>
        <v>4</v>
      </c>
      <c r="AL9" s="22" t="n">
        <f aca="false">COUNTIF(F9:AI9,"A")</f>
        <v>1</v>
      </c>
      <c r="AM9" s="22" t="n">
        <f aca="false">COUNTIF(F9:AI9,"NP")+COUNTIF(F9:AI9,"KL")</f>
        <v>1</v>
      </c>
      <c r="AN9" s="23" t="n">
        <f aca="false">SUMIF(CHI_TIET_CHAM_CONG!$B:$B,$B9,CHI_TIET_CHAM_CONG!$Q:$Q)</f>
        <v>4.5</v>
      </c>
    </row>
    <row r="10" customFormat="false" ht="15.75" hidden="false" customHeight="true" outlineLevel="0" collapsed="false">
      <c r="A10" s="9" t="n">
        <v>6</v>
      </c>
      <c r="B10" s="9" t="s">
        <v>47</v>
      </c>
      <c r="C10" s="10" t="str">
        <f aca="false">DM_NHAN_VIEN!C9</f>
        <v>Ngô Văn Tài</v>
      </c>
      <c r="D10" s="9" t="str">
        <f aca="false">DM_NHAN_VIEN!D9</f>
        <v>Hành chính</v>
      </c>
      <c r="E10" s="9" t="str">
        <f aca="false">DM_NHAN_VIEN!F9</f>
        <v>Ca Hành Chính</v>
      </c>
      <c r="F10" s="21" t="str">
        <f aca="false">IFERROR(VLOOKUP($B10&amp;"_"&amp;TEXT(DATE(2026,6,1),"yyyymmdd"),CHI_TIET_CHAM_CONG!$T:$U,2,FALSE()),"")</f>
        <v>P</v>
      </c>
      <c r="G10" s="21" t="str">
        <f aca="false">IFERROR(VLOOKUP($B10&amp;"_"&amp;TEXT(DATE(2026,6,2),"yyyymmdd"),CHI_TIET_CHAM_CONG!$T:$U,2,FALSE()),"")</f>
        <v>P</v>
      </c>
      <c r="H10" s="21" t="str">
        <f aca="false">IFERROR(VLOOKUP($B10&amp;"_"&amp;TEXT(DATE(2026,6,3),"yyyymmdd"),CHI_TIET_CHAM_CONG!$T:$U,2,FALSE()),"")</f>
        <v>P</v>
      </c>
      <c r="I10" s="21" t="str">
        <f aca="false">IFERROR(VLOOKUP($B10&amp;"_"&amp;TEXT(DATE(2026,6,4),"yyyymmdd"),CHI_TIET_CHAM_CONG!$T:$U,2,FALSE()),"")</f>
        <v>P</v>
      </c>
      <c r="J10" s="21" t="str">
        <f aca="false">IFERROR(VLOOKUP($B10&amp;"_"&amp;TEXT(DATE(2026,6,5),"yyyymmdd"),CHI_TIET_CHAM_CONG!$T:$U,2,FALSE()),"")</f>
        <v>P</v>
      </c>
      <c r="K10" s="21" t="str">
        <f aca="false">IFERROR(VLOOKUP($B10&amp;"_"&amp;TEXT(DATE(2026,6,6),"yyyymmdd"),CHI_TIET_CHAM_CONG!$T:$U,2,FALSE()),"")</f>
        <v>P</v>
      </c>
      <c r="L10" s="21" t="s">
        <v>124</v>
      </c>
      <c r="M10" s="21" t="str">
        <f aca="false">IFERROR(VLOOKUP($B10&amp;"_"&amp;TEXT(DATE(2026,6,8),"yyyymmdd"),CHI_TIET_CHAM_CONG!$T:$U,2,FALSE()),"")</f>
        <v>P</v>
      </c>
      <c r="N10" s="21" t="str">
        <f aca="false">IFERROR(VLOOKUP($B10&amp;"_"&amp;TEXT(DATE(2026,6,9),"yyyymmdd"),CHI_TIET_CHAM_CONG!$T:$U,2,FALSE()),"")</f>
        <v>A</v>
      </c>
      <c r="O10" s="21" t="str">
        <f aca="false">IFERROR(VLOOKUP($B10&amp;"_"&amp;TEXT(DATE(2026,6,10),"yyyymmdd"),CHI_TIET_CHAM_CONG!$T:$U,2,FALSE()),"")</f>
        <v>P</v>
      </c>
      <c r="P10" s="21" t="str">
        <f aca="false">IFERROR(VLOOKUP($B10&amp;"_"&amp;TEXT(DATE(2026,6,11),"yyyymmdd"),CHI_TIET_CHAM_CONG!$T:$U,2,FALSE()),"")</f>
        <v>L</v>
      </c>
      <c r="Q10" s="21" t="str">
        <f aca="false">IFERROR(VLOOKUP($B10&amp;"_"&amp;TEXT(DATE(2026,6,12),"yyyymmdd"),CHI_TIET_CHAM_CONG!$T:$U,2,FALSE()),"")</f>
        <v>P</v>
      </c>
      <c r="R10" s="21" t="str">
        <f aca="false">IFERROR(VLOOKUP($B10&amp;"_"&amp;TEXT(DATE(2026,6,13),"yyyymmdd"),CHI_TIET_CHAM_CONG!$T:$U,2,FALSE()),"")</f>
        <v>P</v>
      </c>
      <c r="S10" s="21" t="s">
        <v>124</v>
      </c>
      <c r="T10" s="21" t="str">
        <f aca="false">IFERROR(VLOOKUP($B10&amp;"_"&amp;TEXT(DATE(2026,6,15),"yyyymmdd"),CHI_TIET_CHAM_CONG!$T:$U,2,FALSE()),"")</f>
        <v>P</v>
      </c>
      <c r="U10" s="21" t="str">
        <f aca="false">IFERROR(VLOOKUP($B10&amp;"_"&amp;TEXT(DATE(2026,6,16),"yyyymmdd"),CHI_TIET_CHAM_CONG!$T:$U,2,FALSE()),"")</f>
        <v>P</v>
      </c>
      <c r="V10" s="21" t="str">
        <f aca="false">IFERROR(VLOOKUP($B10&amp;"_"&amp;TEXT(DATE(2026,6,17),"yyyymmdd"),CHI_TIET_CHAM_CONG!$T:$U,2,FALSE()),"")</f>
        <v>P</v>
      </c>
      <c r="W10" s="21" t="str">
        <f aca="false">IFERROR(VLOOKUP($B10&amp;"_"&amp;TEXT(DATE(2026,6,18),"yyyymmdd"),CHI_TIET_CHAM_CONG!$T:$U,2,FALSE()),"")</f>
        <v>P</v>
      </c>
      <c r="X10" s="21" t="str">
        <f aca="false">IFERROR(VLOOKUP($B10&amp;"_"&amp;TEXT(DATE(2026,6,19),"yyyymmdd"),CHI_TIET_CHAM_CONG!$T:$U,2,FALSE()),"")</f>
        <v>P</v>
      </c>
      <c r="Y10" s="21" t="str">
        <f aca="false">IFERROR(VLOOKUP($B10&amp;"_"&amp;TEXT(DATE(2026,6,20),"yyyymmdd"),CHI_TIET_CHAM_CONG!$T:$U,2,FALSE()),"")</f>
        <v>P</v>
      </c>
      <c r="Z10" s="21" t="s">
        <v>124</v>
      </c>
      <c r="AA10" s="21" t="str">
        <f aca="false">IFERROR(VLOOKUP($B10&amp;"_"&amp;TEXT(DATE(2026,6,22),"yyyymmdd"),CHI_TIET_CHAM_CONG!$T:$U,2,FALSE()),"")</f>
        <v>NP</v>
      </c>
      <c r="AB10" s="21" t="str">
        <f aca="false">IFERROR(VLOOKUP($B10&amp;"_"&amp;TEXT(DATE(2026,6,23),"yyyymmdd"),CHI_TIET_CHAM_CONG!$T:$U,2,FALSE()),"")</f>
        <v>P</v>
      </c>
      <c r="AC10" s="21" t="str">
        <f aca="false">IFERROR(VLOOKUP($B10&amp;"_"&amp;TEXT(DATE(2026,6,24),"yyyymmdd"),CHI_TIET_CHAM_CONG!$T:$U,2,FALSE()),"")</f>
        <v>P</v>
      </c>
      <c r="AD10" s="21" t="str">
        <f aca="false">IFERROR(VLOOKUP($B10&amp;"_"&amp;TEXT(DATE(2026,6,25),"yyyymmdd"),CHI_TIET_CHAM_CONG!$T:$U,2,FALSE()),"")</f>
        <v>P</v>
      </c>
      <c r="AE10" s="21" t="str">
        <f aca="false">IFERROR(VLOOKUP($B10&amp;"_"&amp;TEXT(DATE(2026,6,26),"yyyymmdd"),CHI_TIET_CHAM_CONG!$T:$U,2,FALSE()),"")</f>
        <v>L</v>
      </c>
      <c r="AF10" s="21" t="str">
        <f aca="false">IFERROR(VLOOKUP($B10&amp;"_"&amp;TEXT(DATE(2026,6,27),"yyyymmdd"),CHI_TIET_CHAM_CONG!$T:$U,2,FALSE()),"")</f>
        <v>P</v>
      </c>
      <c r="AG10" s="21" t="s">
        <v>124</v>
      </c>
      <c r="AH10" s="21" t="str">
        <f aca="false">IFERROR(VLOOKUP($B10&amp;"_"&amp;TEXT(DATE(2026,6,29),"yyyymmdd"),CHI_TIET_CHAM_CONG!$T:$U,2,FALSE()),"")</f>
        <v>P</v>
      </c>
      <c r="AI10" s="21" t="str">
        <f aca="false">IFERROR(VLOOKUP($B10&amp;"_"&amp;TEXT(DATE(2026,6,30),"yyyymmdd"),CHI_TIET_CHAM_CONG!$T:$U,2,FALSE()),"")</f>
        <v>P</v>
      </c>
      <c r="AJ10" s="22" t="n">
        <f aca="false">COUNTIF(F10:AI10,"P")+COUNTIF(F10:AI10,"L")</f>
        <v>24</v>
      </c>
      <c r="AK10" s="22" t="n">
        <f aca="false">COUNTIF(F10:AI10,"L")</f>
        <v>2</v>
      </c>
      <c r="AL10" s="22" t="n">
        <f aca="false">COUNTIF(F10:AI10,"A")</f>
        <v>1</v>
      </c>
      <c r="AM10" s="22" t="n">
        <f aca="false">COUNTIF(F10:AI10,"NP")+COUNTIF(F10:AI10,"KL")</f>
        <v>1</v>
      </c>
      <c r="AN10" s="23" t="n">
        <f aca="false">SUMIF(CHI_TIET_CHAM_CONG!$B:$B,$B10,CHI_TIET_CHAM_CONG!$Q:$Q)</f>
        <v>12</v>
      </c>
    </row>
    <row r="11" customFormat="false" ht="15.75" hidden="false" customHeight="true" outlineLevel="0" collapsed="false">
      <c r="A11" s="9" t="n">
        <v>7</v>
      </c>
      <c r="B11" s="9" t="s">
        <v>51</v>
      </c>
      <c r="C11" s="10" t="str">
        <f aca="false">DM_NHAN_VIEN!C10</f>
        <v>Vũ Thị Nga</v>
      </c>
      <c r="D11" s="9" t="str">
        <f aca="false">DM_NHAN_VIEN!D10</f>
        <v>Hành chính</v>
      </c>
      <c r="E11" s="9" t="str">
        <f aca="false">DM_NHAN_VIEN!F10</f>
        <v>Ca Hành Chính</v>
      </c>
      <c r="F11" s="21" t="str">
        <f aca="false">IFERROR(VLOOKUP($B11&amp;"_"&amp;TEXT(DATE(2026,6,1),"yyyymmdd"),CHI_TIET_CHAM_CONG!$T:$U,2,FALSE()),"")</f>
        <v>NP</v>
      </c>
      <c r="G11" s="21" t="str">
        <f aca="false">IFERROR(VLOOKUP($B11&amp;"_"&amp;TEXT(DATE(2026,6,2),"yyyymmdd"),CHI_TIET_CHAM_CONG!$T:$U,2,FALSE()),"")</f>
        <v>P</v>
      </c>
      <c r="H11" s="21" t="str">
        <f aca="false">IFERROR(VLOOKUP($B11&amp;"_"&amp;TEXT(DATE(2026,6,3),"yyyymmdd"),CHI_TIET_CHAM_CONG!$T:$U,2,FALSE()),"")</f>
        <v>L</v>
      </c>
      <c r="I11" s="21" t="str">
        <f aca="false">IFERROR(VLOOKUP($B11&amp;"_"&amp;TEXT(DATE(2026,6,4),"yyyymmdd"),CHI_TIET_CHAM_CONG!$T:$U,2,FALSE()),"")</f>
        <v>L</v>
      </c>
      <c r="J11" s="21" t="str">
        <f aca="false">IFERROR(VLOOKUP($B11&amp;"_"&amp;TEXT(DATE(2026,6,5),"yyyymmdd"),CHI_TIET_CHAM_CONG!$T:$U,2,FALSE()),"")</f>
        <v>P</v>
      </c>
      <c r="K11" s="21" t="str">
        <f aca="false">IFERROR(VLOOKUP($B11&amp;"_"&amp;TEXT(DATE(2026,6,6),"yyyymmdd"),CHI_TIET_CHAM_CONG!$T:$U,2,FALSE()),"")</f>
        <v>P</v>
      </c>
      <c r="L11" s="21" t="s">
        <v>124</v>
      </c>
      <c r="M11" s="21" t="str">
        <f aca="false">IFERROR(VLOOKUP($B11&amp;"_"&amp;TEXT(DATE(2026,6,8),"yyyymmdd"),CHI_TIET_CHAM_CONG!$T:$U,2,FALSE()),"")</f>
        <v>P</v>
      </c>
      <c r="N11" s="21" t="str">
        <f aca="false">IFERROR(VLOOKUP($B11&amp;"_"&amp;TEXT(DATE(2026,6,9),"yyyymmdd"),CHI_TIET_CHAM_CONG!$T:$U,2,FALSE()),"")</f>
        <v>P</v>
      </c>
      <c r="O11" s="21" t="str">
        <f aca="false">IFERROR(VLOOKUP($B11&amp;"_"&amp;TEXT(DATE(2026,6,10),"yyyymmdd"),CHI_TIET_CHAM_CONG!$T:$U,2,FALSE()),"")</f>
        <v>P</v>
      </c>
      <c r="P11" s="21" t="str">
        <f aca="false">IFERROR(VLOOKUP($B11&amp;"_"&amp;TEXT(DATE(2026,6,11),"yyyymmdd"),CHI_TIET_CHAM_CONG!$T:$U,2,FALSE()),"")</f>
        <v>P</v>
      </c>
      <c r="Q11" s="21" t="str">
        <f aca="false">IFERROR(VLOOKUP($B11&amp;"_"&amp;TEXT(DATE(2026,6,12),"yyyymmdd"),CHI_TIET_CHAM_CONG!$T:$U,2,FALSE()),"")</f>
        <v>P</v>
      </c>
      <c r="R11" s="21" t="str">
        <f aca="false">IFERROR(VLOOKUP($B11&amp;"_"&amp;TEXT(DATE(2026,6,13),"yyyymmdd"),CHI_TIET_CHAM_CONG!$T:$U,2,FALSE()),"")</f>
        <v>P</v>
      </c>
      <c r="S11" s="21" t="s">
        <v>124</v>
      </c>
      <c r="T11" s="21" t="str">
        <f aca="false">IFERROR(VLOOKUP($B11&amp;"_"&amp;TEXT(DATE(2026,6,15),"yyyymmdd"),CHI_TIET_CHAM_CONG!$T:$U,2,FALSE()),"")</f>
        <v>P</v>
      </c>
      <c r="U11" s="21" t="str">
        <f aca="false">IFERROR(VLOOKUP($B11&amp;"_"&amp;TEXT(DATE(2026,6,16),"yyyymmdd"),CHI_TIET_CHAM_CONG!$T:$U,2,FALSE()),"")</f>
        <v>P</v>
      </c>
      <c r="V11" s="21" t="str">
        <f aca="false">IFERROR(VLOOKUP($B11&amp;"_"&amp;TEXT(DATE(2026,6,17),"yyyymmdd"),CHI_TIET_CHAM_CONG!$T:$U,2,FALSE()),"")</f>
        <v>P</v>
      </c>
      <c r="W11" s="21" t="str">
        <f aca="false">IFERROR(VLOOKUP($B11&amp;"_"&amp;TEXT(DATE(2026,6,18),"yyyymmdd"),CHI_TIET_CHAM_CONG!$T:$U,2,FALSE()),"")</f>
        <v>NP</v>
      </c>
      <c r="X11" s="21" t="str">
        <f aca="false">IFERROR(VLOOKUP($B11&amp;"_"&amp;TEXT(DATE(2026,6,19),"yyyymmdd"),CHI_TIET_CHAM_CONG!$T:$U,2,FALSE()),"")</f>
        <v>P</v>
      </c>
      <c r="Y11" s="21" t="str">
        <f aca="false">IFERROR(VLOOKUP($B11&amp;"_"&amp;TEXT(DATE(2026,6,20),"yyyymmdd"),CHI_TIET_CHAM_CONG!$T:$U,2,FALSE()),"")</f>
        <v>P</v>
      </c>
      <c r="Z11" s="21" t="s">
        <v>124</v>
      </c>
      <c r="AA11" s="21" t="str">
        <f aca="false">IFERROR(VLOOKUP($B11&amp;"_"&amp;TEXT(DATE(2026,6,22),"yyyymmdd"),CHI_TIET_CHAM_CONG!$T:$U,2,FALSE()),"")</f>
        <v>L</v>
      </c>
      <c r="AB11" s="21" t="str">
        <f aca="false">IFERROR(VLOOKUP($B11&amp;"_"&amp;TEXT(DATE(2026,6,23),"yyyymmdd"),CHI_TIET_CHAM_CONG!$T:$U,2,FALSE()),"")</f>
        <v>P</v>
      </c>
      <c r="AC11" s="21" t="str">
        <f aca="false">IFERROR(VLOOKUP($B11&amp;"_"&amp;TEXT(DATE(2026,6,24),"yyyymmdd"),CHI_TIET_CHAM_CONG!$T:$U,2,FALSE()),"")</f>
        <v>KL</v>
      </c>
      <c r="AD11" s="21" t="str">
        <f aca="false">IFERROR(VLOOKUP($B11&amp;"_"&amp;TEXT(DATE(2026,6,25),"yyyymmdd"),CHI_TIET_CHAM_CONG!$T:$U,2,FALSE()),"")</f>
        <v>P</v>
      </c>
      <c r="AE11" s="21" t="str">
        <f aca="false">IFERROR(VLOOKUP($B11&amp;"_"&amp;TEXT(DATE(2026,6,26),"yyyymmdd"),CHI_TIET_CHAM_CONG!$T:$U,2,FALSE()),"")</f>
        <v>P</v>
      </c>
      <c r="AF11" s="21" t="str">
        <f aca="false">IFERROR(VLOOKUP($B11&amp;"_"&amp;TEXT(DATE(2026,6,27),"yyyymmdd"),CHI_TIET_CHAM_CONG!$T:$U,2,FALSE()),"")</f>
        <v>NP</v>
      </c>
      <c r="AG11" s="21" t="s">
        <v>124</v>
      </c>
      <c r="AH11" s="21" t="str">
        <f aca="false">IFERROR(VLOOKUP($B11&amp;"_"&amp;TEXT(DATE(2026,6,29),"yyyymmdd"),CHI_TIET_CHAM_CONG!$T:$U,2,FALSE()),"")</f>
        <v>P</v>
      </c>
      <c r="AI11" s="21" t="str">
        <f aca="false">IFERROR(VLOOKUP($B11&amp;"_"&amp;TEXT(DATE(2026,6,30),"yyyymmdd"),CHI_TIET_CHAM_CONG!$T:$U,2,FALSE()),"")</f>
        <v>P</v>
      </c>
      <c r="AJ11" s="22" t="n">
        <f aca="false">COUNTIF(F11:AI11,"P")+COUNTIF(F11:AI11,"L")</f>
        <v>22</v>
      </c>
      <c r="AK11" s="22" t="n">
        <f aca="false">COUNTIF(F11:AI11,"L")</f>
        <v>3</v>
      </c>
      <c r="AL11" s="22" t="n">
        <f aca="false">COUNTIF(F11:AI11,"A")</f>
        <v>0</v>
      </c>
      <c r="AM11" s="22" t="n">
        <f aca="false">COUNTIF(F11:AI11,"NP")+COUNTIF(F11:AI11,"KL")</f>
        <v>4</v>
      </c>
      <c r="AN11" s="23" t="n">
        <f aca="false">SUMIF(CHI_TIET_CHAM_CONG!$B:$B,$B11,CHI_TIET_CHAM_CONG!$Q:$Q)</f>
        <v>1</v>
      </c>
    </row>
    <row r="12" customFormat="false" ht="15.75" hidden="false" customHeight="true" outlineLevel="0" collapsed="false">
      <c r="A12" s="9" t="n">
        <v>8</v>
      </c>
      <c r="B12" s="9" t="s">
        <v>55</v>
      </c>
      <c r="C12" s="10" t="str">
        <f aca="false">DM_NHAN_VIEN!C11</f>
        <v>Đặng Thị Hồng</v>
      </c>
      <c r="D12" s="9" t="str">
        <f aca="false">DM_NHAN_VIEN!D11</f>
        <v>Nhân sự</v>
      </c>
      <c r="E12" s="9" t="str">
        <f aca="false">DM_NHAN_VIEN!F11</f>
        <v>Ca Hành Chính</v>
      </c>
      <c r="F12" s="21" t="str">
        <f aca="false">IFERROR(VLOOKUP($B12&amp;"_"&amp;TEXT(DATE(2026,6,1),"yyyymmdd"),CHI_TIET_CHAM_CONG!$T:$U,2,FALSE()),"")</f>
        <v>L</v>
      </c>
      <c r="G12" s="21" t="str">
        <f aca="false">IFERROR(VLOOKUP($B12&amp;"_"&amp;TEXT(DATE(2026,6,2),"yyyymmdd"),CHI_TIET_CHAM_CONG!$T:$U,2,FALSE()),"")</f>
        <v>P</v>
      </c>
      <c r="H12" s="21" t="str">
        <f aca="false">IFERROR(VLOOKUP($B12&amp;"_"&amp;TEXT(DATE(2026,6,3),"yyyymmdd"),CHI_TIET_CHAM_CONG!$T:$U,2,FALSE()),"")</f>
        <v>P</v>
      </c>
      <c r="I12" s="21" t="str">
        <f aca="false">IFERROR(VLOOKUP($B12&amp;"_"&amp;TEXT(DATE(2026,6,4),"yyyymmdd"),CHI_TIET_CHAM_CONG!$T:$U,2,FALSE()),"")</f>
        <v>KL</v>
      </c>
      <c r="J12" s="21" t="str">
        <f aca="false">IFERROR(VLOOKUP($B12&amp;"_"&amp;TEXT(DATE(2026,6,5),"yyyymmdd"),CHI_TIET_CHAM_CONG!$T:$U,2,FALSE()),"")</f>
        <v>P</v>
      </c>
      <c r="K12" s="21" t="str">
        <f aca="false">IFERROR(VLOOKUP($B12&amp;"_"&amp;TEXT(DATE(2026,6,6),"yyyymmdd"),CHI_TIET_CHAM_CONG!$T:$U,2,FALSE()),"")</f>
        <v>P</v>
      </c>
      <c r="L12" s="21" t="s">
        <v>124</v>
      </c>
      <c r="M12" s="21" t="str">
        <f aca="false">IFERROR(VLOOKUP($B12&amp;"_"&amp;TEXT(DATE(2026,6,8),"yyyymmdd"),CHI_TIET_CHAM_CONG!$T:$U,2,FALSE()),"")</f>
        <v>P</v>
      </c>
      <c r="N12" s="21" t="str">
        <f aca="false">IFERROR(VLOOKUP($B12&amp;"_"&amp;TEXT(DATE(2026,6,9),"yyyymmdd"),CHI_TIET_CHAM_CONG!$T:$U,2,FALSE()),"")</f>
        <v>P</v>
      </c>
      <c r="O12" s="21" t="str">
        <f aca="false">IFERROR(VLOOKUP($B12&amp;"_"&amp;TEXT(DATE(2026,6,10),"yyyymmdd"),CHI_TIET_CHAM_CONG!$T:$U,2,FALSE()),"")</f>
        <v>P</v>
      </c>
      <c r="P12" s="21" t="str">
        <f aca="false">IFERROR(VLOOKUP($B12&amp;"_"&amp;TEXT(DATE(2026,6,11),"yyyymmdd"),CHI_TIET_CHAM_CONG!$T:$U,2,FALSE()),"")</f>
        <v>P</v>
      </c>
      <c r="Q12" s="21" t="str">
        <f aca="false">IFERROR(VLOOKUP($B12&amp;"_"&amp;TEXT(DATE(2026,6,12),"yyyymmdd"),CHI_TIET_CHAM_CONG!$T:$U,2,FALSE()),"")</f>
        <v>A</v>
      </c>
      <c r="R12" s="21" t="str">
        <f aca="false">IFERROR(VLOOKUP($B12&amp;"_"&amp;TEXT(DATE(2026,6,13),"yyyymmdd"),CHI_TIET_CHAM_CONG!$T:$U,2,FALSE()),"")</f>
        <v>P</v>
      </c>
      <c r="S12" s="21" t="s">
        <v>124</v>
      </c>
      <c r="T12" s="21" t="str">
        <f aca="false">IFERROR(VLOOKUP($B12&amp;"_"&amp;TEXT(DATE(2026,6,15),"yyyymmdd"),CHI_TIET_CHAM_CONG!$T:$U,2,FALSE()),"")</f>
        <v>A</v>
      </c>
      <c r="U12" s="21" t="str">
        <f aca="false">IFERROR(VLOOKUP($B12&amp;"_"&amp;TEXT(DATE(2026,6,16),"yyyymmdd"),CHI_TIET_CHAM_CONG!$T:$U,2,FALSE()),"")</f>
        <v>P</v>
      </c>
      <c r="V12" s="21" t="str">
        <f aca="false">IFERROR(VLOOKUP($B12&amp;"_"&amp;TEXT(DATE(2026,6,17),"yyyymmdd"),CHI_TIET_CHAM_CONG!$T:$U,2,FALSE()),"")</f>
        <v>L</v>
      </c>
      <c r="W12" s="21" t="str">
        <f aca="false">IFERROR(VLOOKUP($B12&amp;"_"&amp;TEXT(DATE(2026,6,18),"yyyymmdd"),CHI_TIET_CHAM_CONG!$T:$U,2,FALSE()),"")</f>
        <v>P</v>
      </c>
      <c r="X12" s="21" t="str">
        <f aca="false">IFERROR(VLOOKUP($B12&amp;"_"&amp;TEXT(DATE(2026,6,19),"yyyymmdd"),CHI_TIET_CHAM_CONG!$T:$U,2,FALSE()),"")</f>
        <v>P</v>
      </c>
      <c r="Y12" s="21" t="str">
        <f aca="false">IFERROR(VLOOKUP($B12&amp;"_"&amp;TEXT(DATE(2026,6,20),"yyyymmdd"),CHI_TIET_CHAM_CONG!$T:$U,2,FALSE()),"")</f>
        <v>P</v>
      </c>
      <c r="Z12" s="21" t="s">
        <v>124</v>
      </c>
      <c r="AA12" s="21" t="str">
        <f aca="false">IFERROR(VLOOKUP($B12&amp;"_"&amp;TEXT(DATE(2026,6,22),"yyyymmdd"),CHI_TIET_CHAM_CONG!$T:$U,2,FALSE()),"")</f>
        <v>P</v>
      </c>
      <c r="AB12" s="21" t="str">
        <f aca="false">IFERROR(VLOOKUP($B12&amp;"_"&amp;TEXT(DATE(2026,6,23),"yyyymmdd"),CHI_TIET_CHAM_CONG!$T:$U,2,FALSE()),"")</f>
        <v>P</v>
      </c>
      <c r="AC12" s="21" t="str">
        <f aca="false">IFERROR(VLOOKUP($B12&amp;"_"&amp;TEXT(DATE(2026,6,24),"yyyymmdd"),CHI_TIET_CHAM_CONG!$T:$U,2,FALSE()),"")</f>
        <v>P</v>
      </c>
      <c r="AD12" s="21" t="str">
        <f aca="false">IFERROR(VLOOKUP($B12&amp;"_"&amp;TEXT(DATE(2026,6,25),"yyyymmdd"),CHI_TIET_CHAM_CONG!$T:$U,2,FALSE()),"")</f>
        <v>P</v>
      </c>
      <c r="AE12" s="21" t="str">
        <f aca="false">IFERROR(VLOOKUP($B12&amp;"_"&amp;TEXT(DATE(2026,6,26),"yyyymmdd"),CHI_TIET_CHAM_CONG!$T:$U,2,FALSE()),"")</f>
        <v>P</v>
      </c>
      <c r="AF12" s="21" t="str">
        <f aca="false">IFERROR(VLOOKUP($B12&amp;"_"&amp;TEXT(DATE(2026,6,27),"yyyymmdd"),CHI_TIET_CHAM_CONG!$T:$U,2,FALSE()),"")</f>
        <v>P</v>
      </c>
      <c r="AG12" s="21" t="s">
        <v>124</v>
      </c>
      <c r="AH12" s="21" t="str">
        <f aca="false">IFERROR(VLOOKUP($B12&amp;"_"&amp;TEXT(DATE(2026,6,29),"yyyymmdd"),CHI_TIET_CHAM_CONG!$T:$U,2,FALSE()),"")</f>
        <v>P</v>
      </c>
      <c r="AI12" s="21" t="str">
        <f aca="false">IFERROR(VLOOKUP($B12&amp;"_"&amp;TEXT(DATE(2026,6,30),"yyyymmdd"),CHI_TIET_CHAM_CONG!$T:$U,2,FALSE()),"")</f>
        <v>P</v>
      </c>
      <c r="AJ12" s="22" t="n">
        <f aca="false">COUNTIF(F12:AI12,"P")+COUNTIF(F12:AI12,"L")</f>
        <v>23</v>
      </c>
      <c r="AK12" s="22" t="n">
        <f aca="false">COUNTIF(F12:AI12,"L")</f>
        <v>2</v>
      </c>
      <c r="AL12" s="22" t="n">
        <f aca="false">COUNTIF(F12:AI12,"A")</f>
        <v>2</v>
      </c>
      <c r="AM12" s="22" t="n">
        <f aca="false">COUNTIF(F12:AI12,"NP")+COUNTIF(F12:AI12,"KL")</f>
        <v>1</v>
      </c>
      <c r="AN12" s="23" t="n">
        <f aca="false">SUMIF(CHI_TIET_CHAM_CONG!$B:$B,$B12,CHI_TIET_CHAM_CONG!$Q:$Q)</f>
        <v>3</v>
      </c>
    </row>
    <row r="13" customFormat="false" ht="15.75" hidden="false" customHeight="true" outlineLevel="0" collapsed="false">
      <c r="A13" s="9" t="n">
        <v>9</v>
      </c>
      <c r="B13" s="9" t="s">
        <v>58</v>
      </c>
      <c r="C13" s="10" t="str">
        <f aca="false">DM_NHAN_VIEN!C12</f>
        <v>Chu Văn Minh</v>
      </c>
      <c r="D13" s="9" t="str">
        <f aca="false">DM_NHAN_VIEN!D12</f>
        <v>Nhân sự</v>
      </c>
      <c r="E13" s="9" t="str">
        <f aca="false">DM_NHAN_VIEN!F12</f>
        <v>Ca Hành Chính</v>
      </c>
      <c r="F13" s="21" t="str">
        <f aca="false">IFERROR(VLOOKUP($B13&amp;"_"&amp;TEXT(DATE(2026,6,1),"yyyymmdd"),CHI_TIET_CHAM_CONG!$T:$U,2,FALSE()),"")</f>
        <v>P</v>
      </c>
      <c r="G13" s="21" t="str">
        <f aca="false">IFERROR(VLOOKUP($B13&amp;"_"&amp;TEXT(DATE(2026,6,2),"yyyymmdd"),CHI_TIET_CHAM_CONG!$T:$U,2,FALSE()),"")</f>
        <v>P</v>
      </c>
      <c r="H13" s="21" t="str">
        <f aca="false">IFERROR(VLOOKUP($B13&amp;"_"&amp;TEXT(DATE(2026,6,3),"yyyymmdd"),CHI_TIET_CHAM_CONG!$T:$U,2,FALSE()),"")</f>
        <v>P</v>
      </c>
      <c r="I13" s="21" t="str">
        <f aca="false">IFERROR(VLOOKUP($B13&amp;"_"&amp;TEXT(DATE(2026,6,4),"yyyymmdd"),CHI_TIET_CHAM_CONG!$T:$U,2,FALSE()),"")</f>
        <v>P</v>
      </c>
      <c r="J13" s="21" t="str">
        <f aca="false">IFERROR(VLOOKUP($B13&amp;"_"&amp;TEXT(DATE(2026,6,5),"yyyymmdd"),CHI_TIET_CHAM_CONG!$T:$U,2,FALSE()),"")</f>
        <v>P</v>
      </c>
      <c r="K13" s="21" t="str">
        <f aca="false">IFERROR(VLOOKUP($B13&amp;"_"&amp;TEXT(DATE(2026,6,6),"yyyymmdd"),CHI_TIET_CHAM_CONG!$T:$U,2,FALSE()),"")</f>
        <v>P</v>
      </c>
      <c r="L13" s="21" t="s">
        <v>124</v>
      </c>
      <c r="M13" s="21" t="str">
        <f aca="false">IFERROR(VLOOKUP($B13&amp;"_"&amp;TEXT(DATE(2026,6,8),"yyyymmdd"),CHI_TIET_CHAM_CONG!$T:$U,2,FALSE()),"")</f>
        <v>P</v>
      </c>
      <c r="N13" s="21" t="str">
        <f aca="false">IFERROR(VLOOKUP($B13&amp;"_"&amp;TEXT(DATE(2026,6,9),"yyyymmdd"),CHI_TIET_CHAM_CONG!$T:$U,2,FALSE()),"")</f>
        <v>P</v>
      </c>
      <c r="O13" s="21" t="str">
        <f aca="false">IFERROR(VLOOKUP($B13&amp;"_"&amp;TEXT(DATE(2026,6,10),"yyyymmdd"),CHI_TIET_CHAM_CONG!$T:$U,2,FALSE()),"")</f>
        <v>P</v>
      </c>
      <c r="P13" s="21" t="str">
        <f aca="false">IFERROR(VLOOKUP($B13&amp;"_"&amp;TEXT(DATE(2026,6,11),"yyyymmdd"),CHI_TIET_CHAM_CONG!$T:$U,2,FALSE()),"")</f>
        <v>KL</v>
      </c>
      <c r="Q13" s="21" t="str">
        <f aca="false">IFERROR(VLOOKUP($B13&amp;"_"&amp;TEXT(DATE(2026,6,12),"yyyymmdd"),CHI_TIET_CHAM_CONG!$T:$U,2,FALSE()),"")</f>
        <v>P</v>
      </c>
      <c r="R13" s="21" t="str">
        <f aca="false">IFERROR(VLOOKUP($B13&amp;"_"&amp;TEXT(DATE(2026,6,13),"yyyymmdd"),CHI_TIET_CHAM_CONG!$T:$U,2,FALSE()),"")</f>
        <v>A</v>
      </c>
      <c r="S13" s="21" t="s">
        <v>124</v>
      </c>
      <c r="T13" s="21" t="str">
        <f aca="false">IFERROR(VLOOKUP($B13&amp;"_"&amp;TEXT(DATE(2026,6,15),"yyyymmdd"),CHI_TIET_CHAM_CONG!$T:$U,2,FALSE()),"")</f>
        <v>P</v>
      </c>
      <c r="U13" s="21" t="str">
        <f aca="false">IFERROR(VLOOKUP($B13&amp;"_"&amp;TEXT(DATE(2026,6,16),"yyyymmdd"),CHI_TIET_CHAM_CONG!$T:$U,2,FALSE()),"")</f>
        <v>P</v>
      </c>
      <c r="V13" s="21" t="str">
        <f aca="false">IFERROR(VLOOKUP($B13&amp;"_"&amp;TEXT(DATE(2026,6,17),"yyyymmdd"),CHI_TIET_CHAM_CONG!$T:$U,2,FALSE()),"")</f>
        <v>P</v>
      </c>
      <c r="W13" s="21" t="str">
        <f aca="false">IFERROR(VLOOKUP($B13&amp;"_"&amp;TEXT(DATE(2026,6,18),"yyyymmdd"),CHI_TIET_CHAM_CONG!$T:$U,2,FALSE()),"")</f>
        <v>L</v>
      </c>
      <c r="X13" s="21" t="str">
        <f aca="false">IFERROR(VLOOKUP($B13&amp;"_"&amp;TEXT(DATE(2026,6,19),"yyyymmdd"),CHI_TIET_CHAM_CONG!$T:$U,2,FALSE()),"")</f>
        <v>P</v>
      </c>
      <c r="Y13" s="21" t="str">
        <f aca="false">IFERROR(VLOOKUP($B13&amp;"_"&amp;TEXT(DATE(2026,6,20),"yyyymmdd"),CHI_TIET_CHAM_CONG!$T:$U,2,FALSE()),"")</f>
        <v>P</v>
      </c>
      <c r="Z13" s="21" t="s">
        <v>124</v>
      </c>
      <c r="AA13" s="21" t="str">
        <f aca="false">IFERROR(VLOOKUP($B13&amp;"_"&amp;TEXT(DATE(2026,6,22),"yyyymmdd"),CHI_TIET_CHAM_CONG!$T:$U,2,FALSE()),"")</f>
        <v>L</v>
      </c>
      <c r="AB13" s="21" t="str">
        <f aca="false">IFERROR(VLOOKUP($B13&amp;"_"&amp;TEXT(DATE(2026,6,23),"yyyymmdd"),CHI_TIET_CHAM_CONG!$T:$U,2,FALSE()),"")</f>
        <v>P</v>
      </c>
      <c r="AC13" s="21" t="str">
        <f aca="false">IFERROR(VLOOKUP($B13&amp;"_"&amp;TEXT(DATE(2026,6,24),"yyyymmdd"),CHI_TIET_CHAM_CONG!$T:$U,2,FALSE()),"")</f>
        <v>P</v>
      </c>
      <c r="AD13" s="21" t="str">
        <f aca="false">IFERROR(VLOOKUP($B13&amp;"_"&amp;TEXT(DATE(2026,6,25),"yyyymmdd"),CHI_TIET_CHAM_CONG!$T:$U,2,FALSE()),"")</f>
        <v>P</v>
      </c>
      <c r="AE13" s="21" t="str">
        <f aca="false">IFERROR(VLOOKUP($B13&amp;"_"&amp;TEXT(DATE(2026,6,26),"yyyymmdd"),CHI_TIET_CHAM_CONG!$T:$U,2,FALSE()),"")</f>
        <v>P</v>
      </c>
      <c r="AF13" s="21" t="str">
        <f aca="false">IFERROR(VLOOKUP($B13&amp;"_"&amp;TEXT(DATE(2026,6,27),"yyyymmdd"),CHI_TIET_CHAM_CONG!$T:$U,2,FALSE()),"")</f>
        <v>L</v>
      </c>
      <c r="AG13" s="21" t="s">
        <v>124</v>
      </c>
      <c r="AH13" s="21" t="str">
        <f aca="false">IFERROR(VLOOKUP($B13&amp;"_"&amp;TEXT(DATE(2026,6,29),"yyyymmdd"),CHI_TIET_CHAM_CONG!$T:$U,2,FALSE()),"")</f>
        <v>L</v>
      </c>
      <c r="AI13" s="21" t="str">
        <f aca="false">IFERROR(VLOOKUP($B13&amp;"_"&amp;TEXT(DATE(2026,6,30),"yyyymmdd"),CHI_TIET_CHAM_CONG!$T:$U,2,FALSE()),"")</f>
        <v>P</v>
      </c>
      <c r="AJ13" s="22" t="n">
        <f aca="false">COUNTIF(F13:AI13,"P")+COUNTIF(F13:AI13,"L")</f>
        <v>24</v>
      </c>
      <c r="AK13" s="22" t="n">
        <f aca="false">COUNTIF(F13:AI13,"L")</f>
        <v>4</v>
      </c>
      <c r="AL13" s="22" t="n">
        <f aca="false">COUNTIF(F13:AI13,"A")</f>
        <v>1</v>
      </c>
      <c r="AM13" s="22" t="n">
        <f aca="false">COUNTIF(F13:AI13,"NP")+COUNTIF(F13:AI13,"KL")</f>
        <v>1</v>
      </c>
      <c r="AN13" s="23" t="n">
        <f aca="false">SUMIF(CHI_TIET_CHAM_CONG!$B:$B,$B13,CHI_TIET_CHAM_CONG!$Q:$Q)</f>
        <v>4.5</v>
      </c>
    </row>
    <row r="14" customFormat="false" ht="15.75" hidden="false" customHeight="true" outlineLevel="0" collapsed="false">
      <c r="A14" s="9" t="n">
        <v>10</v>
      </c>
      <c r="B14" s="9" t="s">
        <v>61</v>
      </c>
      <c r="C14" s="10" t="str">
        <f aca="false">DM_NHAN_VIEN!C13</f>
        <v>Phan Thị Khánh</v>
      </c>
      <c r="D14" s="9" t="str">
        <f aca="false">DM_NHAN_VIEN!D13</f>
        <v>Kế toán</v>
      </c>
      <c r="E14" s="9" t="str">
        <f aca="false">DM_NHAN_VIEN!F13</f>
        <v>Ca Hành Chính</v>
      </c>
      <c r="F14" s="21" t="str">
        <f aca="false">IFERROR(VLOOKUP($B14&amp;"_"&amp;TEXT(DATE(2026,6,1),"yyyymmdd"),CHI_TIET_CHAM_CONG!$T:$U,2,FALSE()),"")</f>
        <v>L</v>
      </c>
      <c r="G14" s="21" t="str">
        <f aca="false">IFERROR(VLOOKUP($B14&amp;"_"&amp;TEXT(DATE(2026,6,2),"yyyymmdd"),CHI_TIET_CHAM_CONG!$T:$U,2,FALSE()),"")</f>
        <v>P</v>
      </c>
      <c r="H14" s="21" t="str">
        <f aca="false">IFERROR(VLOOKUP($B14&amp;"_"&amp;TEXT(DATE(2026,6,3),"yyyymmdd"),CHI_TIET_CHAM_CONG!$T:$U,2,FALSE()),"")</f>
        <v>P</v>
      </c>
      <c r="I14" s="21" t="str">
        <f aca="false">IFERROR(VLOOKUP($B14&amp;"_"&amp;TEXT(DATE(2026,6,4),"yyyymmdd"),CHI_TIET_CHAM_CONG!$T:$U,2,FALSE()),"")</f>
        <v>P</v>
      </c>
      <c r="J14" s="21" t="str">
        <f aca="false">IFERROR(VLOOKUP($B14&amp;"_"&amp;TEXT(DATE(2026,6,5),"yyyymmdd"),CHI_TIET_CHAM_CONG!$T:$U,2,FALSE()),"")</f>
        <v>P</v>
      </c>
      <c r="K14" s="21" t="str">
        <f aca="false">IFERROR(VLOOKUP($B14&amp;"_"&amp;TEXT(DATE(2026,6,6),"yyyymmdd"),CHI_TIET_CHAM_CONG!$T:$U,2,FALSE()),"")</f>
        <v>P</v>
      </c>
      <c r="L14" s="21" t="s">
        <v>124</v>
      </c>
      <c r="M14" s="21" t="str">
        <f aca="false">IFERROR(VLOOKUP($B14&amp;"_"&amp;TEXT(DATE(2026,6,8),"yyyymmdd"),CHI_TIET_CHAM_CONG!$T:$U,2,FALSE()),"")</f>
        <v>P</v>
      </c>
      <c r="N14" s="21" t="str">
        <f aca="false">IFERROR(VLOOKUP($B14&amp;"_"&amp;TEXT(DATE(2026,6,9),"yyyymmdd"),CHI_TIET_CHAM_CONG!$T:$U,2,FALSE()),"")</f>
        <v>P</v>
      </c>
      <c r="O14" s="21" t="str">
        <f aca="false">IFERROR(VLOOKUP($B14&amp;"_"&amp;TEXT(DATE(2026,6,10),"yyyymmdd"),CHI_TIET_CHAM_CONG!$T:$U,2,FALSE()),"")</f>
        <v>P</v>
      </c>
      <c r="P14" s="21" t="str">
        <f aca="false">IFERROR(VLOOKUP($B14&amp;"_"&amp;TEXT(DATE(2026,6,11),"yyyymmdd"),CHI_TIET_CHAM_CONG!$T:$U,2,FALSE()),"")</f>
        <v>P</v>
      </c>
      <c r="Q14" s="21" t="str">
        <f aca="false">IFERROR(VLOOKUP($B14&amp;"_"&amp;TEXT(DATE(2026,6,12),"yyyymmdd"),CHI_TIET_CHAM_CONG!$T:$U,2,FALSE()),"")</f>
        <v>P</v>
      </c>
      <c r="R14" s="21" t="str">
        <f aca="false">IFERROR(VLOOKUP($B14&amp;"_"&amp;TEXT(DATE(2026,6,13),"yyyymmdd"),CHI_TIET_CHAM_CONG!$T:$U,2,FALSE()),"")</f>
        <v>P</v>
      </c>
      <c r="S14" s="21" t="s">
        <v>124</v>
      </c>
      <c r="T14" s="21" t="str">
        <f aca="false">IFERROR(VLOOKUP($B14&amp;"_"&amp;TEXT(DATE(2026,6,15),"yyyymmdd"),CHI_TIET_CHAM_CONG!$T:$U,2,FALSE()),"")</f>
        <v>P</v>
      </c>
      <c r="U14" s="21" t="str">
        <f aca="false">IFERROR(VLOOKUP($B14&amp;"_"&amp;TEXT(DATE(2026,6,16),"yyyymmdd"),CHI_TIET_CHAM_CONG!$T:$U,2,FALSE()),"")</f>
        <v>P</v>
      </c>
      <c r="V14" s="21" t="str">
        <f aca="false">IFERROR(VLOOKUP($B14&amp;"_"&amp;TEXT(DATE(2026,6,17),"yyyymmdd"),CHI_TIET_CHAM_CONG!$T:$U,2,FALSE()),"")</f>
        <v>P</v>
      </c>
      <c r="W14" s="21" t="str">
        <f aca="false">IFERROR(VLOOKUP($B14&amp;"_"&amp;TEXT(DATE(2026,6,18),"yyyymmdd"),CHI_TIET_CHAM_CONG!$T:$U,2,FALSE()),"")</f>
        <v>P</v>
      </c>
      <c r="X14" s="21" t="str">
        <f aca="false">IFERROR(VLOOKUP($B14&amp;"_"&amp;TEXT(DATE(2026,6,19),"yyyymmdd"),CHI_TIET_CHAM_CONG!$T:$U,2,FALSE()),"")</f>
        <v>P</v>
      </c>
      <c r="Y14" s="21" t="str">
        <f aca="false">IFERROR(VLOOKUP($B14&amp;"_"&amp;TEXT(DATE(2026,6,20),"yyyymmdd"),CHI_TIET_CHAM_CONG!$T:$U,2,FALSE()),"")</f>
        <v>P</v>
      </c>
      <c r="Z14" s="21" t="s">
        <v>124</v>
      </c>
      <c r="AA14" s="21" t="str">
        <f aca="false">IFERROR(VLOOKUP($B14&amp;"_"&amp;TEXT(DATE(2026,6,22),"yyyymmdd"),CHI_TIET_CHAM_CONG!$T:$U,2,FALSE()),"")</f>
        <v>P</v>
      </c>
      <c r="AB14" s="21" t="str">
        <f aca="false">IFERROR(VLOOKUP($B14&amp;"_"&amp;TEXT(DATE(2026,6,23),"yyyymmdd"),CHI_TIET_CHAM_CONG!$T:$U,2,FALSE()),"")</f>
        <v>A</v>
      </c>
      <c r="AC14" s="21" t="str">
        <f aca="false">IFERROR(VLOOKUP($B14&amp;"_"&amp;TEXT(DATE(2026,6,24),"yyyymmdd"),CHI_TIET_CHAM_CONG!$T:$U,2,FALSE()),"")</f>
        <v>P</v>
      </c>
      <c r="AD14" s="21" t="str">
        <f aca="false">IFERROR(VLOOKUP($B14&amp;"_"&amp;TEXT(DATE(2026,6,25),"yyyymmdd"),CHI_TIET_CHAM_CONG!$T:$U,2,FALSE()),"")</f>
        <v>P</v>
      </c>
      <c r="AE14" s="21" t="str">
        <f aca="false">IFERROR(VLOOKUP($B14&amp;"_"&amp;TEXT(DATE(2026,6,26),"yyyymmdd"),CHI_TIET_CHAM_CONG!$T:$U,2,FALSE()),"")</f>
        <v>P</v>
      </c>
      <c r="AF14" s="21" t="str">
        <f aca="false">IFERROR(VLOOKUP($B14&amp;"_"&amp;TEXT(DATE(2026,6,27),"yyyymmdd"),CHI_TIET_CHAM_CONG!$T:$U,2,FALSE()),"")</f>
        <v>L</v>
      </c>
      <c r="AG14" s="21" t="s">
        <v>124</v>
      </c>
      <c r="AH14" s="21" t="str">
        <f aca="false">IFERROR(VLOOKUP($B14&amp;"_"&amp;TEXT(DATE(2026,6,29),"yyyymmdd"),CHI_TIET_CHAM_CONG!$T:$U,2,FALSE()),"")</f>
        <v>P</v>
      </c>
      <c r="AI14" s="21" t="str">
        <f aca="false">IFERROR(VLOOKUP($B14&amp;"_"&amp;TEXT(DATE(2026,6,30),"yyyymmdd"),CHI_TIET_CHAM_CONG!$T:$U,2,FALSE()),"")</f>
        <v>P</v>
      </c>
      <c r="AJ14" s="22" t="n">
        <f aca="false">COUNTIF(F14:AI14,"P")+COUNTIF(F14:AI14,"L")</f>
        <v>25</v>
      </c>
      <c r="AK14" s="22" t="n">
        <f aca="false">COUNTIF(F14:AI14,"L")</f>
        <v>2</v>
      </c>
      <c r="AL14" s="22" t="n">
        <f aca="false">COUNTIF(F14:AI14,"A")</f>
        <v>1</v>
      </c>
      <c r="AM14" s="22" t="n">
        <f aca="false">COUNTIF(F14:AI14,"NP")+COUNTIF(F14:AI14,"KL")</f>
        <v>0</v>
      </c>
      <c r="AN14" s="23" t="n">
        <f aca="false">SUMIF(CHI_TIET_CHAM_CONG!$B:$B,$B14,CHI_TIET_CHAM_CONG!$Q:$Q)</f>
        <v>7</v>
      </c>
    </row>
    <row r="15" customFormat="false" ht="15.75" hidden="false" customHeight="true" outlineLevel="0" collapsed="false">
      <c r="A15" s="9" t="n">
        <v>11</v>
      </c>
      <c r="B15" s="9" t="s">
        <v>65</v>
      </c>
      <c r="C15" s="10" t="str">
        <f aca="false">DM_NHAN_VIEN!C14</f>
        <v>Trịnh Văn Hùng</v>
      </c>
      <c r="D15" s="9" t="str">
        <f aca="false">DM_NHAN_VIEN!D14</f>
        <v>Kế toán</v>
      </c>
      <c r="E15" s="9" t="str">
        <f aca="false">DM_NHAN_VIEN!F14</f>
        <v>Ca Hành Chính</v>
      </c>
      <c r="F15" s="21" t="str">
        <f aca="false">IFERROR(VLOOKUP($B15&amp;"_"&amp;TEXT(DATE(2026,6,1),"yyyymmdd"),CHI_TIET_CHAM_CONG!$T:$U,2,FALSE()),"")</f>
        <v>P</v>
      </c>
      <c r="G15" s="21" t="str">
        <f aca="false">IFERROR(VLOOKUP($B15&amp;"_"&amp;TEXT(DATE(2026,6,2),"yyyymmdd"),CHI_TIET_CHAM_CONG!$T:$U,2,FALSE()),"")</f>
        <v>L</v>
      </c>
      <c r="H15" s="21" t="str">
        <f aca="false">IFERROR(VLOOKUP($B15&amp;"_"&amp;TEXT(DATE(2026,6,3),"yyyymmdd"),CHI_TIET_CHAM_CONG!$T:$U,2,FALSE()),"")</f>
        <v>P</v>
      </c>
      <c r="I15" s="21" t="str">
        <f aca="false">IFERROR(VLOOKUP($B15&amp;"_"&amp;TEXT(DATE(2026,6,4),"yyyymmdd"),CHI_TIET_CHAM_CONG!$T:$U,2,FALSE()),"")</f>
        <v>L</v>
      </c>
      <c r="J15" s="21" t="str">
        <f aca="false">IFERROR(VLOOKUP($B15&amp;"_"&amp;TEXT(DATE(2026,6,5),"yyyymmdd"),CHI_TIET_CHAM_CONG!$T:$U,2,FALSE()),"")</f>
        <v>P</v>
      </c>
      <c r="K15" s="21" t="str">
        <f aca="false">IFERROR(VLOOKUP($B15&amp;"_"&amp;TEXT(DATE(2026,6,6),"yyyymmdd"),CHI_TIET_CHAM_CONG!$T:$U,2,FALSE()),"")</f>
        <v>P</v>
      </c>
      <c r="L15" s="21" t="s">
        <v>124</v>
      </c>
      <c r="M15" s="21" t="str">
        <f aca="false">IFERROR(VLOOKUP($B15&amp;"_"&amp;TEXT(DATE(2026,6,8),"yyyymmdd"),CHI_TIET_CHAM_CONG!$T:$U,2,FALSE()),"")</f>
        <v>P</v>
      </c>
      <c r="N15" s="21" t="str">
        <f aca="false">IFERROR(VLOOKUP($B15&amp;"_"&amp;TEXT(DATE(2026,6,9),"yyyymmdd"),CHI_TIET_CHAM_CONG!$T:$U,2,FALSE()),"")</f>
        <v>NP</v>
      </c>
      <c r="O15" s="21" t="str">
        <f aca="false">IFERROR(VLOOKUP($B15&amp;"_"&amp;TEXT(DATE(2026,6,10),"yyyymmdd"),CHI_TIET_CHAM_CONG!$T:$U,2,FALSE()),"")</f>
        <v>P</v>
      </c>
      <c r="P15" s="21" t="str">
        <f aca="false">IFERROR(VLOOKUP($B15&amp;"_"&amp;TEXT(DATE(2026,6,11),"yyyymmdd"),CHI_TIET_CHAM_CONG!$T:$U,2,FALSE()),"")</f>
        <v>P</v>
      </c>
      <c r="Q15" s="21" t="str">
        <f aca="false">IFERROR(VLOOKUP($B15&amp;"_"&amp;TEXT(DATE(2026,6,12),"yyyymmdd"),CHI_TIET_CHAM_CONG!$T:$U,2,FALSE()),"")</f>
        <v>P</v>
      </c>
      <c r="R15" s="21" t="str">
        <f aca="false">IFERROR(VLOOKUP($B15&amp;"_"&amp;TEXT(DATE(2026,6,13),"yyyymmdd"),CHI_TIET_CHAM_CONG!$T:$U,2,FALSE()),"")</f>
        <v>P</v>
      </c>
      <c r="S15" s="21" t="s">
        <v>124</v>
      </c>
      <c r="T15" s="21" t="str">
        <f aca="false">IFERROR(VLOOKUP($B15&amp;"_"&amp;TEXT(DATE(2026,6,15),"yyyymmdd"),CHI_TIET_CHAM_CONG!$T:$U,2,FALSE()),"")</f>
        <v>P</v>
      </c>
      <c r="U15" s="21" t="str">
        <f aca="false">IFERROR(VLOOKUP($B15&amp;"_"&amp;TEXT(DATE(2026,6,16),"yyyymmdd"),CHI_TIET_CHAM_CONG!$T:$U,2,FALSE()),"")</f>
        <v>P</v>
      </c>
      <c r="V15" s="21" t="str">
        <f aca="false">IFERROR(VLOOKUP($B15&amp;"_"&amp;TEXT(DATE(2026,6,17),"yyyymmdd"),CHI_TIET_CHAM_CONG!$T:$U,2,FALSE()),"")</f>
        <v>KL</v>
      </c>
      <c r="W15" s="21" t="str">
        <f aca="false">IFERROR(VLOOKUP($B15&amp;"_"&amp;TEXT(DATE(2026,6,18),"yyyymmdd"),CHI_TIET_CHAM_CONG!$T:$U,2,FALSE()),"")</f>
        <v>P</v>
      </c>
      <c r="X15" s="21" t="str">
        <f aca="false">IFERROR(VLOOKUP($B15&amp;"_"&amp;TEXT(DATE(2026,6,19),"yyyymmdd"),CHI_TIET_CHAM_CONG!$T:$U,2,FALSE()),"")</f>
        <v>P</v>
      </c>
      <c r="Y15" s="21" t="str">
        <f aca="false">IFERROR(VLOOKUP($B15&amp;"_"&amp;TEXT(DATE(2026,6,20),"yyyymmdd"),CHI_TIET_CHAM_CONG!$T:$U,2,FALSE()),"")</f>
        <v>P</v>
      </c>
      <c r="Z15" s="21" t="s">
        <v>124</v>
      </c>
      <c r="AA15" s="21" t="str">
        <f aca="false">IFERROR(VLOOKUP($B15&amp;"_"&amp;TEXT(DATE(2026,6,22),"yyyymmdd"),CHI_TIET_CHAM_CONG!$T:$U,2,FALSE()),"")</f>
        <v>KL</v>
      </c>
      <c r="AB15" s="21" t="str">
        <f aca="false">IFERROR(VLOOKUP($B15&amp;"_"&amp;TEXT(DATE(2026,6,23),"yyyymmdd"),CHI_TIET_CHAM_CONG!$T:$U,2,FALSE()),"")</f>
        <v>P</v>
      </c>
      <c r="AC15" s="21" t="str">
        <f aca="false">IFERROR(VLOOKUP($B15&amp;"_"&amp;TEXT(DATE(2026,6,24),"yyyymmdd"),CHI_TIET_CHAM_CONG!$T:$U,2,FALSE()),"")</f>
        <v>P</v>
      </c>
      <c r="AD15" s="21" t="str">
        <f aca="false">IFERROR(VLOOKUP($B15&amp;"_"&amp;TEXT(DATE(2026,6,25),"yyyymmdd"),CHI_TIET_CHAM_CONG!$T:$U,2,FALSE()),"")</f>
        <v>P</v>
      </c>
      <c r="AE15" s="21" t="str">
        <f aca="false">IFERROR(VLOOKUP($B15&amp;"_"&amp;TEXT(DATE(2026,6,26),"yyyymmdd"),CHI_TIET_CHAM_CONG!$T:$U,2,FALSE()),"")</f>
        <v>KL</v>
      </c>
      <c r="AF15" s="21" t="str">
        <f aca="false">IFERROR(VLOOKUP($B15&amp;"_"&amp;TEXT(DATE(2026,6,27),"yyyymmdd"),CHI_TIET_CHAM_CONG!$T:$U,2,FALSE()),"")</f>
        <v>KL</v>
      </c>
      <c r="AG15" s="21" t="s">
        <v>124</v>
      </c>
      <c r="AH15" s="21" t="str">
        <f aca="false">IFERROR(VLOOKUP($B15&amp;"_"&amp;TEXT(DATE(2026,6,29),"yyyymmdd"),CHI_TIET_CHAM_CONG!$T:$U,2,FALSE()),"")</f>
        <v>P</v>
      </c>
      <c r="AI15" s="21" t="str">
        <f aca="false">IFERROR(VLOOKUP($B15&amp;"_"&amp;TEXT(DATE(2026,6,30),"yyyymmdd"),CHI_TIET_CHAM_CONG!$T:$U,2,FALSE()),"")</f>
        <v>P</v>
      </c>
      <c r="AJ15" s="22" t="n">
        <f aca="false">COUNTIF(F15:AI15,"P")+COUNTIF(F15:AI15,"L")</f>
        <v>21</v>
      </c>
      <c r="AK15" s="22" t="n">
        <f aca="false">COUNTIF(F15:AI15,"L")</f>
        <v>2</v>
      </c>
      <c r="AL15" s="22" t="n">
        <f aca="false">COUNTIF(F15:AI15,"A")</f>
        <v>0</v>
      </c>
      <c r="AM15" s="22" t="n">
        <f aca="false">COUNTIF(F15:AI15,"NP")+COUNTIF(F15:AI15,"KL")</f>
        <v>5</v>
      </c>
      <c r="AN15" s="23" t="n">
        <f aca="false">SUMIF(CHI_TIET_CHAM_CONG!$B:$B,$B15,CHI_TIET_CHAM_CONG!$Q:$Q)</f>
        <v>8</v>
      </c>
    </row>
    <row r="16" customFormat="false" ht="15.75" hidden="false" customHeight="true" outlineLevel="0" collapsed="false">
      <c r="A16" s="9" t="n">
        <v>12</v>
      </c>
      <c r="B16" s="9" t="s">
        <v>68</v>
      </c>
      <c r="C16" s="10" t="str">
        <f aca="false">DM_NHAN_VIEN!C15</f>
        <v>Hoàng Văn Lộc</v>
      </c>
      <c r="D16" s="9" t="str">
        <f aca="false">DM_NHAN_VIEN!D15</f>
        <v>Kinh doanh</v>
      </c>
      <c r="E16" s="9" t="str">
        <f aca="false">DM_NHAN_VIEN!F15</f>
        <v>Ca Hành Chính</v>
      </c>
      <c r="F16" s="21" t="str">
        <f aca="false">IFERROR(VLOOKUP($B16&amp;"_"&amp;TEXT(DATE(2026,6,1),"yyyymmdd"),CHI_TIET_CHAM_CONG!$T:$U,2,FALSE()),"")</f>
        <v>P</v>
      </c>
      <c r="G16" s="21" t="str">
        <f aca="false">IFERROR(VLOOKUP($B16&amp;"_"&amp;TEXT(DATE(2026,6,2),"yyyymmdd"),CHI_TIET_CHAM_CONG!$T:$U,2,FALSE()),"")</f>
        <v>P</v>
      </c>
      <c r="H16" s="21" t="str">
        <f aca="false">IFERROR(VLOOKUP($B16&amp;"_"&amp;TEXT(DATE(2026,6,3),"yyyymmdd"),CHI_TIET_CHAM_CONG!$T:$U,2,FALSE()),"")</f>
        <v>P</v>
      </c>
      <c r="I16" s="21" t="str">
        <f aca="false">IFERROR(VLOOKUP($B16&amp;"_"&amp;TEXT(DATE(2026,6,4),"yyyymmdd"),CHI_TIET_CHAM_CONG!$T:$U,2,FALSE()),"")</f>
        <v>P</v>
      </c>
      <c r="J16" s="21" t="str">
        <f aca="false">IFERROR(VLOOKUP($B16&amp;"_"&amp;TEXT(DATE(2026,6,5),"yyyymmdd"),CHI_TIET_CHAM_CONG!$T:$U,2,FALSE()),"")</f>
        <v>A</v>
      </c>
      <c r="K16" s="21" t="str">
        <f aca="false">IFERROR(VLOOKUP($B16&amp;"_"&amp;TEXT(DATE(2026,6,6),"yyyymmdd"),CHI_TIET_CHAM_CONG!$T:$U,2,FALSE()),"")</f>
        <v>P</v>
      </c>
      <c r="L16" s="21" t="s">
        <v>124</v>
      </c>
      <c r="M16" s="21" t="str">
        <f aca="false">IFERROR(VLOOKUP($B16&amp;"_"&amp;TEXT(DATE(2026,6,8),"yyyymmdd"),CHI_TIET_CHAM_CONG!$T:$U,2,FALSE()),"")</f>
        <v>P</v>
      </c>
      <c r="N16" s="21" t="str">
        <f aca="false">IFERROR(VLOOKUP($B16&amp;"_"&amp;TEXT(DATE(2026,6,9),"yyyymmdd"),CHI_TIET_CHAM_CONG!$T:$U,2,FALSE()),"")</f>
        <v>P</v>
      </c>
      <c r="O16" s="21" t="str">
        <f aca="false">IFERROR(VLOOKUP($B16&amp;"_"&amp;TEXT(DATE(2026,6,10),"yyyymmdd"),CHI_TIET_CHAM_CONG!$T:$U,2,FALSE()),"")</f>
        <v>P</v>
      </c>
      <c r="P16" s="21" t="str">
        <f aca="false">IFERROR(VLOOKUP($B16&amp;"_"&amp;TEXT(DATE(2026,6,11),"yyyymmdd"),CHI_TIET_CHAM_CONG!$T:$U,2,FALSE()),"")</f>
        <v>P</v>
      </c>
      <c r="Q16" s="21" t="str">
        <f aca="false">IFERROR(VLOOKUP($B16&amp;"_"&amp;TEXT(DATE(2026,6,12),"yyyymmdd"),CHI_TIET_CHAM_CONG!$T:$U,2,FALSE()),"")</f>
        <v>P</v>
      </c>
      <c r="R16" s="21" t="str">
        <f aca="false">IFERROR(VLOOKUP($B16&amp;"_"&amp;TEXT(DATE(2026,6,13),"yyyymmdd"),CHI_TIET_CHAM_CONG!$T:$U,2,FALSE()),"")</f>
        <v>L</v>
      </c>
      <c r="S16" s="21" t="s">
        <v>124</v>
      </c>
      <c r="T16" s="21" t="str">
        <f aca="false">IFERROR(VLOOKUP($B16&amp;"_"&amp;TEXT(DATE(2026,6,15),"yyyymmdd"),CHI_TIET_CHAM_CONG!$T:$U,2,FALSE()),"")</f>
        <v>P</v>
      </c>
      <c r="U16" s="21" t="str">
        <f aca="false">IFERROR(VLOOKUP($B16&amp;"_"&amp;TEXT(DATE(2026,6,16),"yyyymmdd"),CHI_TIET_CHAM_CONG!$T:$U,2,FALSE()),"")</f>
        <v>P</v>
      </c>
      <c r="V16" s="21" t="str">
        <f aca="false">IFERROR(VLOOKUP($B16&amp;"_"&amp;TEXT(DATE(2026,6,17),"yyyymmdd"),CHI_TIET_CHAM_CONG!$T:$U,2,FALSE()),"")</f>
        <v>P</v>
      </c>
      <c r="W16" s="21" t="str">
        <f aca="false">IFERROR(VLOOKUP($B16&amp;"_"&amp;TEXT(DATE(2026,6,18),"yyyymmdd"),CHI_TIET_CHAM_CONG!$T:$U,2,FALSE()),"")</f>
        <v>P</v>
      </c>
      <c r="X16" s="21" t="str">
        <f aca="false">IFERROR(VLOOKUP($B16&amp;"_"&amp;TEXT(DATE(2026,6,19),"yyyymmdd"),CHI_TIET_CHAM_CONG!$T:$U,2,FALSE()),"")</f>
        <v>P</v>
      </c>
      <c r="Y16" s="21" t="str">
        <f aca="false">IFERROR(VLOOKUP($B16&amp;"_"&amp;TEXT(DATE(2026,6,20),"yyyymmdd"),CHI_TIET_CHAM_CONG!$T:$U,2,FALSE()),"")</f>
        <v>P</v>
      </c>
      <c r="Z16" s="21" t="s">
        <v>124</v>
      </c>
      <c r="AA16" s="21" t="str">
        <f aca="false">IFERROR(VLOOKUP($B16&amp;"_"&amp;TEXT(DATE(2026,6,22),"yyyymmdd"),CHI_TIET_CHAM_CONG!$T:$U,2,FALSE()),"")</f>
        <v>P</v>
      </c>
      <c r="AB16" s="21" t="str">
        <f aca="false">IFERROR(VLOOKUP($B16&amp;"_"&amp;TEXT(DATE(2026,6,23),"yyyymmdd"),CHI_TIET_CHAM_CONG!$T:$U,2,FALSE()),"")</f>
        <v>P</v>
      </c>
      <c r="AC16" s="21" t="str">
        <f aca="false">IFERROR(VLOOKUP($B16&amp;"_"&amp;TEXT(DATE(2026,6,24),"yyyymmdd"),CHI_TIET_CHAM_CONG!$T:$U,2,FALSE()),"")</f>
        <v>P</v>
      </c>
      <c r="AD16" s="21" t="str">
        <f aca="false">IFERROR(VLOOKUP($B16&amp;"_"&amp;TEXT(DATE(2026,6,25),"yyyymmdd"),CHI_TIET_CHAM_CONG!$T:$U,2,FALSE()),"")</f>
        <v>L</v>
      </c>
      <c r="AE16" s="21" t="str">
        <f aca="false">IFERROR(VLOOKUP($B16&amp;"_"&amp;TEXT(DATE(2026,6,26),"yyyymmdd"),CHI_TIET_CHAM_CONG!$T:$U,2,FALSE()),"")</f>
        <v>P</v>
      </c>
      <c r="AF16" s="21" t="str">
        <f aca="false">IFERROR(VLOOKUP($B16&amp;"_"&amp;TEXT(DATE(2026,6,27),"yyyymmdd"),CHI_TIET_CHAM_CONG!$T:$U,2,FALSE()),"")</f>
        <v>P</v>
      </c>
      <c r="AG16" s="21" t="s">
        <v>124</v>
      </c>
      <c r="AH16" s="21" t="str">
        <f aca="false">IFERROR(VLOOKUP($B16&amp;"_"&amp;TEXT(DATE(2026,6,29),"yyyymmdd"),CHI_TIET_CHAM_CONG!$T:$U,2,FALSE()),"")</f>
        <v>P</v>
      </c>
      <c r="AI16" s="21" t="str">
        <f aca="false">IFERROR(VLOOKUP($B16&amp;"_"&amp;TEXT(DATE(2026,6,30),"yyyymmdd"),CHI_TIET_CHAM_CONG!$T:$U,2,FALSE()),"")</f>
        <v>P</v>
      </c>
      <c r="AJ16" s="22" t="n">
        <f aca="false">COUNTIF(F16:AI16,"P")+COUNTIF(F16:AI16,"L")</f>
        <v>25</v>
      </c>
      <c r="AK16" s="22" t="n">
        <f aca="false">COUNTIF(F16:AI16,"L")</f>
        <v>2</v>
      </c>
      <c r="AL16" s="22" t="n">
        <f aca="false">COUNTIF(F16:AI16,"A")</f>
        <v>1</v>
      </c>
      <c r="AM16" s="22" t="n">
        <f aca="false">COUNTIF(F16:AI16,"NP")+COUNTIF(F16:AI16,"KL")</f>
        <v>0</v>
      </c>
      <c r="AN16" s="23" t="n">
        <f aca="false">SUMIF(CHI_TIET_CHAM_CONG!$B:$B,$B16,CHI_TIET_CHAM_CONG!$Q:$Q)</f>
        <v>4.5</v>
      </c>
    </row>
    <row r="17" customFormat="false" ht="15.75" hidden="false" customHeight="true" outlineLevel="0" collapsed="false">
      <c r="A17" s="9" t="n">
        <v>13</v>
      </c>
      <c r="B17" s="9" t="s">
        <v>72</v>
      </c>
      <c r="C17" s="10" t="str">
        <f aca="false">DM_NHAN_VIEN!C16</f>
        <v>Nguyễn Văn Phú</v>
      </c>
      <c r="D17" s="9" t="str">
        <f aca="false">DM_NHAN_VIEN!D16</f>
        <v>Kinh doanh</v>
      </c>
      <c r="E17" s="9" t="str">
        <f aca="false">DM_NHAN_VIEN!F16</f>
        <v>Ca Hành Chính</v>
      </c>
      <c r="F17" s="21" t="str">
        <f aca="false">IFERROR(VLOOKUP($B17&amp;"_"&amp;TEXT(DATE(2026,6,1),"yyyymmdd"),CHI_TIET_CHAM_CONG!$T:$U,2,FALSE()),"")</f>
        <v>P</v>
      </c>
      <c r="G17" s="21" t="str">
        <f aca="false">IFERROR(VLOOKUP($B17&amp;"_"&amp;TEXT(DATE(2026,6,2),"yyyymmdd"),CHI_TIET_CHAM_CONG!$T:$U,2,FALSE()),"")</f>
        <v>P</v>
      </c>
      <c r="H17" s="21" t="str">
        <f aca="false">IFERROR(VLOOKUP($B17&amp;"_"&amp;TEXT(DATE(2026,6,3),"yyyymmdd"),CHI_TIET_CHAM_CONG!$T:$U,2,FALSE()),"")</f>
        <v>P</v>
      </c>
      <c r="I17" s="21" t="str">
        <f aca="false">IFERROR(VLOOKUP($B17&amp;"_"&amp;TEXT(DATE(2026,6,4),"yyyymmdd"),CHI_TIET_CHAM_CONG!$T:$U,2,FALSE()),"")</f>
        <v>P</v>
      </c>
      <c r="J17" s="21" t="str">
        <f aca="false">IFERROR(VLOOKUP($B17&amp;"_"&amp;TEXT(DATE(2026,6,5),"yyyymmdd"),CHI_TIET_CHAM_CONG!$T:$U,2,FALSE()),"")</f>
        <v>P</v>
      </c>
      <c r="K17" s="21" t="str">
        <f aca="false">IFERROR(VLOOKUP($B17&amp;"_"&amp;TEXT(DATE(2026,6,6),"yyyymmdd"),CHI_TIET_CHAM_CONG!$T:$U,2,FALSE()),"")</f>
        <v>P</v>
      </c>
      <c r="L17" s="21" t="s">
        <v>124</v>
      </c>
      <c r="M17" s="21" t="str">
        <f aca="false">IFERROR(VLOOKUP($B17&amp;"_"&amp;TEXT(DATE(2026,6,8),"yyyymmdd"),CHI_TIET_CHAM_CONG!$T:$U,2,FALSE()),"")</f>
        <v>P</v>
      </c>
      <c r="N17" s="21" t="str">
        <f aca="false">IFERROR(VLOOKUP($B17&amp;"_"&amp;TEXT(DATE(2026,6,9),"yyyymmdd"),CHI_TIET_CHAM_CONG!$T:$U,2,FALSE()),"")</f>
        <v>P</v>
      </c>
      <c r="O17" s="21" t="str">
        <f aca="false">IFERROR(VLOOKUP($B17&amp;"_"&amp;TEXT(DATE(2026,6,10),"yyyymmdd"),CHI_TIET_CHAM_CONG!$T:$U,2,FALSE()),"")</f>
        <v>P</v>
      </c>
      <c r="P17" s="21" t="str">
        <f aca="false">IFERROR(VLOOKUP($B17&amp;"_"&amp;TEXT(DATE(2026,6,11),"yyyymmdd"),CHI_TIET_CHAM_CONG!$T:$U,2,FALSE()),"")</f>
        <v>P</v>
      </c>
      <c r="Q17" s="21" t="str">
        <f aca="false">IFERROR(VLOOKUP($B17&amp;"_"&amp;TEXT(DATE(2026,6,12),"yyyymmdd"),CHI_TIET_CHAM_CONG!$T:$U,2,FALSE()),"")</f>
        <v>P</v>
      </c>
      <c r="R17" s="21" t="str">
        <f aca="false">IFERROR(VLOOKUP($B17&amp;"_"&amp;TEXT(DATE(2026,6,13),"yyyymmdd"),CHI_TIET_CHAM_CONG!$T:$U,2,FALSE()),"")</f>
        <v>P</v>
      </c>
      <c r="S17" s="21" t="s">
        <v>124</v>
      </c>
      <c r="T17" s="21" t="str">
        <f aca="false">IFERROR(VLOOKUP($B17&amp;"_"&amp;TEXT(DATE(2026,6,15),"yyyymmdd"),CHI_TIET_CHAM_CONG!$T:$U,2,FALSE()),"")</f>
        <v>P</v>
      </c>
      <c r="U17" s="21" t="str">
        <f aca="false">IFERROR(VLOOKUP($B17&amp;"_"&amp;TEXT(DATE(2026,6,16),"yyyymmdd"),CHI_TIET_CHAM_CONG!$T:$U,2,FALSE()),"")</f>
        <v>P</v>
      </c>
      <c r="V17" s="21" t="str">
        <f aca="false">IFERROR(VLOOKUP($B17&amp;"_"&amp;TEXT(DATE(2026,6,17),"yyyymmdd"),CHI_TIET_CHAM_CONG!$T:$U,2,FALSE()),"")</f>
        <v>P</v>
      </c>
      <c r="W17" s="21" t="str">
        <f aca="false">IFERROR(VLOOKUP($B17&amp;"_"&amp;TEXT(DATE(2026,6,18),"yyyymmdd"),CHI_TIET_CHAM_CONG!$T:$U,2,FALSE()),"")</f>
        <v>P</v>
      </c>
      <c r="X17" s="21" t="str">
        <f aca="false">IFERROR(VLOOKUP($B17&amp;"_"&amp;TEXT(DATE(2026,6,19),"yyyymmdd"),CHI_TIET_CHAM_CONG!$T:$U,2,FALSE()),"")</f>
        <v>P</v>
      </c>
      <c r="Y17" s="21" t="str">
        <f aca="false">IFERROR(VLOOKUP($B17&amp;"_"&amp;TEXT(DATE(2026,6,20),"yyyymmdd"),CHI_TIET_CHAM_CONG!$T:$U,2,FALSE()),"")</f>
        <v>P</v>
      </c>
      <c r="Z17" s="21" t="s">
        <v>124</v>
      </c>
      <c r="AA17" s="21" t="str">
        <f aca="false">IFERROR(VLOOKUP($B17&amp;"_"&amp;TEXT(DATE(2026,6,22),"yyyymmdd"),CHI_TIET_CHAM_CONG!$T:$U,2,FALSE()),"")</f>
        <v>P</v>
      </c>
      <c r="AB17" s="21" t="str">
        <f aca="false">IFERROR(VLOOKUP($B17&amp;"_"&amp;TEXT(DATE(2026,6,23),"yyyymmdd"),CHI_TIET_CHAM_CONG!$T:$U,2,FALSE()),"")</f>
        <v>L</v>
      </c>
      <c r="AC17" s="21" t="str">
        <f aca="false">IFERROR(VLOOKUP($B17&amp;"_"&amp;TEXT(DATE(2026,6,24),"yyyymmdd"),CHI_TIET_CHAM_CONG!$T:$U,2,FALSE()),"")</f>
        <v>P</v>
      </c>
      <c r="AD17" s="21" t="str">
        <f aca="false">IFERROR(VLOOKUP($B17&amp;"_"&amp;TEXT(DATE(2026,6,25),"yyyymmdd"),CHI_TIET_CHAM_CONG!$T:$U,2,FALSE()),"")</f>
        <v>P</v>
      </c>
      <c r="AE17" s="21" t="str">
        <f aca="false">IFERROR(VLOOKUP($B17&amp;"_"&amp;TEXT(DATE(2026,6,26),"yyyymmdd"),CHI_TIET_CHAM_CONG!$T:$U,2,FALSE()),"")</f>
        <v>P</v>
      </c>
      <c r="AF17" s="21" t="str">
        <f aca="false">IFERROR(VLOOKUP($B17&amp;"_"&amp;TEXT(DATE(2026,6,27),"yyyymmdd"),CHI_TIET_CHAM_CONG!$T:$U,2,FALSE()),"")</f>
        <v>P</v>
      </c>
      <c r="AG17" s="21" t="s">
        <v>124</v>
      </c>
      <c r="AH17" s="21" t="str">
        <f aca="false">IFERROR(VLOOKUP($B17&amp;"_"&amp;TEXT(DATE(2026,6,29),"yyyymmdd"),CHI_TIET_CHAM_CONG!$T:$U,2,FALSE()),"")</f>
        <v>P</v>
      </c>
      <c r="AI17" s="21" t="str">
        <f aca="false">IFERROR(VLOOKUP($B17&amp;"_"&amp;TEXT(DATE(2026,6,30),"yyyymmdd"),CHI_TIET_CHAM_CONG!$T:$U,2,FALSE()),"")</f>
        <v>P</v>
      </c>
      <c r="AJ17" s="22" t="n">
        <f aca="false">COUNTIF(F17:AI17,"P")+COUNTIF(F17:AI17,"L")</f>
        <v>26</v>
      </c>
      <c r="AK17" s="22" t="n">
        <f aca="false">COUNTIF(F17:AI17,"L")</f>
        <v>1</v>
      </c>
      <c r="AL17" s="22" t="n">
        <f aca="false">COUNTIF(F17:AI17,"A")</f>
        <v>0</v>
      </c>
      <c r="AM17" s="22" t="n">
        <f aca="false">COUNTIF(F17:AI17,"NP")+COUNTIF(F17:AI17,"KL")</f>
        <v>0</v>
      </c>
      <c r="AN17" s="23" t="n">
        <f aca="false">SUMIF(CHI_TIET_CHAM_CONG!$B:$B,$B17,CHI_TIET_CHAM_CONG!$Q:$Q)</f>
        <v>10</v>
      </c>
    </row>
    <row r="18" customFormat="false" ht="15.75" hidden="false" customHeight="true" outlineLevel="0" collapsed="false">
      <c r="A18" s="9" t="n">
        <v>14</v>
      </c>
      <c r="B18" s="9" t="s">
        <v>76</v>
      </c>
      <c r="C18" s="10" t="str">
        <f aca="false">DM_NHAN_VIEN!C17</f>
        <v>Lý Văn Dũng</v>
      </c>
      <c r="D18" s="9" t="str">
        <f aca="false">DM_NHAN_VIEN!D17</f>
        <v>Xưởng sản xuất</v>
      </c>
      <c r="E18" s="9" t="str">
        <f aca="false">DM_NHAN_VIEN!F17</f>
        <v>Ca Hành Chính</v>
      </c>
      <c r="F18" s="21" t="str">
        <f aca="false">IFERROR(VLOOKUP($B18&amp;"_"&amp;TEXT(DATE(2026,6,1),"yyyymmdd"),CHI_TIET_CHAM_CONG!$T:$U,2,FALSE()),"")</f>
        <v>P</v>
      </c>
      <c r="G18" s="21" t="str">
        <f aca="false">IFERROR(VLOOKUP($B18&amp;"_"&amp;TEXT(DATE(2026,6,2),"yyyymmdd"),CHI_TIET_CHAM_CONG!$T:$U,2,FALSE()),"")</f>
        <v>P</v>
      </c>
      <c r="H18" s="21" t="str">
        <f aca="false">IFERROR(VLOOKUP($B18&amp;"_"&amp;TEXT(DATE(2026,6,3),"yyyymmdd"),CHI_TIET_CHAM_CONG!$T:$U,2,FALSE()),"")</f>
        <v>P</v>
      </c>
      <c r="I18" s="21" t="str">
        <f aca="false">IFERROR(VLOOKUP($B18&amp;"_"&amp;TEXT(DATE(2026,6,4),"yyyymmdd"),CHI_TIET_CHAM_CONG!$T:$U,2,FALSE()),"")</f>
        <v>P</v>
      </c>
      <c r="J18" s="21" t="str">
        <f aca="false">IFERROR(VLOOKUP($B18&amp;"_"&amp;TEXT(DATE(2026,6,5),"yyyymmdd"),CHI_TIET_CHAM_CONG!$T:$U,2,FALSE()),"")</f>
        <v>P</v>
      </c>
      <c r="K18" s="21" t="str">
        <f aca="false">IFERROR(VLOOKUP($B18&amp;"_"&amp;TEXT(DATE(2026,6,6),"yyyymmdd"),CHI_TIET_CHAM_CONG!$T:$U,2,FALSE()),"")</f>
        <v>P</v>
      </c>
      <c r="L18" s="21" t="s">
        <v>124</v>
      </c>
      <c r="M18" s="21" t="str">
        <f aca="false">IFERROR(VLOOKUP($B18&amp;"_"&amp;TEXT(DATE(2026,6,8),"yyyymmdd"),CHI_TIET_CHAM_CONG!$T:$U,2,FALSE()),"")</f>
        <v>A</v>
      </c>
      <c r="N18" s="21" t="str">
        <f aca="false">IFERROR(VLOOKUP($B18&amp;"_"&amp;TEXT(DATE(2026,6,9),"yyyymmdd"),CHI_TIET_CHAM_CONG!$T:$U,2,FALSE()),"")</f>
        <v>P</v>
      </c>
      <c r="O18" s="21" t="str">
        <f aca="false">IFERROR(VLOOKUP($B18&amp;"_"&amp;TEXT(DATE(2026,6,10),"yyyymmdd"),CHI_TIET_CHAM_CONG!$T:$U,2,FALSE()),"")</f>
        <v>P</v>
      </c>
      <c r="P18" s="21" t="str">
        <f aca="false">IFERROR(VLOOKUP($B18&amp;"_"&amp;TEXT(DATE(2026,6,11),"yyyymmdd"),CHI_TIET_CHAM_CONG!$T:$U,2,FALSE()),"")</f>
        <v>P</v>
      </c>
      <c r="Q18" s="21" t="str">
        <f aca="false">IFERROR(VLOOKUP($B18&amp;"_"&amp;TEXT(DATE(2026,6,12),"yyyymmdd"),CHI_TIET_CHAM_CONG!$T:$U,2,FALSE()),"")</f>
        <v>P</v>
      </c>
      <c r="R18" s="21" t="str">
        <f aca="false">IFERROR(VLOOKUP($B18&amp;"_"&amp;TEXT(DATE(2026,6,13),"yyyymmdd"),CHI_TIET_CHAM_CONG!$T:$U,2,FALSE()),"")</f>
        <v>P</v>
      </c>
      <c r="S18" s="21" t="s">
        <v>124</v>
      </c>
      <c r="T18" s="21" t="str">
        <f aca="false">IFERROR(VLOOKUP($B18&amp;"_"&amp;TEXT(DATE(2026,6,15),"yyyymmdd"),CHI_TIET_CHAM_CONG!$T:$U,2,FALSE()),"")</f>
        <v>P</v>
      </c>
      <c r="U18" s="21" t="str">
        <f aca="false">IFERROR(VLOOKUP($B18&amp;"_"&amp;TEXT(DATE(2026,6,16),"yyyymmdd"),CHI_TIET_CHAM_CONG!$T:$U,2,FALSE()),"")</f>
        <v>P</v>
      </c>
      <c r="V18" s="21" t="str">
        <f aca="false">IFERROR(VLOOKUP($B18&amp;"_"&amp;TEXT(DATE(2026,6,17),"yyyymmdd"),CHI_TIET_CHAM_CONG!$T:$U,2,FALSE()),"")</f>
        <v>L</v>
      </c>
      <c r="W18" s="21" t="str">
        <f aca="false">IFERROR(VLOOKUP($B18&amp;"_"&amp;TEXT(DATE(2026,6,18),"yyyymmdd"),CHI_TIET_CHAM_CONG!$T:$U,2,FALSE()),"")</f>
        <v>P</v>
      </c>
      <c r="X18" s="21" t="str">
        <f aca="false">IFERROR(VLOOKUP($B18&amp;"_"&amp;TEXT(DATE(2026,6,19),"yyyymmdd"),CHI_TIET_CHAM_CONG!$T:$U,2,FALSE()),"")</f>
        <v>P</v>
      </c>
      <c r="Y18" s="21" t="str">
        <f aca="false">IFERROR(VLOOKUP($B18&amp;"_"&amp;TEXT(DATE(2026,6,20),"yyyymmdd"),CHI_TIET_CHAM_CONG!$T:$U,2,FALSE()),"")</f>
        <v>P</v>
      </c>
      <c r="Z18" s="21" t="s">
        <v>124</v>
      </c>
      <c r="AA18" s="21" t="str">
        <f aca="false">IFERROR(VLOOKUP($B18&amp;"_"&amp;TEXT(DATE(2026,6,22),"yyyymmdd"),CHI_TIET_CHAM_CONG!$T:$U,2,FALSE()),"")</f>
        <v>P</v>
      </c>
      <c r="AB18" s="21" t="str">
        <f aca="false">IFERROR(VLOOKUP($B18&amp;"_"&amp;TEXT(DATE(2026,6,23),"yyyymmdd"),CHI_TIET_CHAM_CONG!$T:$U,2,FALSE()),"")</f>
        <v>L</v>
      </c>
      <c r="AC18" s="21" t="str">
        <f aca="false">IFERROR(VLOOKUP($B18&amp;"_"&amp;TEXT(DATE(2026,6,24),"yyyymmdd"),CHI_TIET_CHAM_CONG!$T:$U,2,FALSE()),"")</f>
        <v>P</v>
      </c>
      <c r="AD18" s="21" t="str">
        <f aca="false">IFERROR(VLOOKUP($B18&amp;"_"&amp;TEXT(DATE(2026,6,25),"yyyymmdd"),CHI_TIET_CHAM_CONG!$T:$U,2,FALSE()),"")</f>
        <v>P</v>
      </c>
      <c r="AE18" s="21" t="str">
        <f aca="false">IFERROR(VLOOKUP($B18&amp;"_"&amp;TEXT(DATE(2026,6,26),"yyyymmdd"),CHI_TIET_CHAM_CONG!$T:$U,2,FALSE()),"")</f>
        <v>P</v>
      </c>
      <c r="AF18" s="21" t="str">
        <f aca="false">IFERROR(VLOOKUP($B18&amp;"_"&amp;TEXT(DATE(2026,6,27),"yyyymmdd"),CHI_TIET_CHAM_CONG!$T:$U,2,FALSE()),"")</f>
        <v>P</v>
      </c>
      <c r="AG18" s="21" t="s">
        <v>124</v>
      </c>
      <c r="AH18" s="21" t="str">
        <f aca="false">IFERROR(VLOOKUP($B18&amp;"_"&amp;TEXT(DATE(2026,6,29),"yyyymmdd"),CHI_TIET_CHAM_CONG!$T:$U,2,FALSE()),"")</f>
        <v>NP</v>
      </c>
      <c r="AI18" s="21" t="str">
        <f aca="false">IFERROR(VLOOKUP($B18&amp;"_"&amp;TEXT(DATE(2026,6,30),"yyyymmdd"),CHI_TIET_CHAM_CONG!$T:$U,2,FALSE()),"")</f>
        <v>KL</v>
      </c>
      <c r="AJ18" s="22" t="n">
        <f aca="false">COUNTIF(F18:AI18,"P")+COUNTIF(F18:AI18,"L")</f>
        <v>23</v>
      </c>
      <c r="AK18" s="22" t="n">
        <f aca="false">COUNTIF(F18:AI18,"L")</f>
        <v>2</v>
      </c>
      <c r="AL18" s="22" t="n">
        <f aca="false">COUNTIF(F18:AI18,"A")</f>
        <v>1</v>
      </c>
      <c r="AM18" s="22" t="n">
        <f aca="false">COUNTIF(F18:AI18,"NP")+COUNTIF(F18:AI18,"KL")</f>
        <v>2</v>
      </c>
      <c r="AN18" s="23" t="n">
        <f aca="false">SUMIF(CHI_TIET_CHAM_CONG!$B:$B,$B18,CHI_TIET_CHAM_CONG!$Q:$Q)</f>
        <v>4.5</v>
      </c>
    </row>
    <row r="19" customFormat="false" ht="15.75" hidden="false" customHeight="true" outlineLevel="0" collapsed="false">
      <c r="A19" s="9" t="n">
        <v>15</v>
      </c>
      <c r="B19" s="9" t="s">
        <v>80</v>
      </c>
      <c r="C19" s="10" t="str">
        <f aca="false">DM_NHAN_VIEN!C18</f>
        <v>Tống Văn Thắng</v>
      </c>
      <c r="D19" s="9" t="str">
        <f aca="false">DM_NHAN_VIEN!D18</f>
        <v>Xưởng sản xuất</v>
      </c>
      <c r="E19" s="9" t="str">
        <f aca="false">DM_NHAN_VIEN!F18</f>
        <v>Ca Hành Chính</v>
      </c>
      <c r="F19" s="21" t="str">
        <f aca="false">IFERROR(VLOOKUP($B19&amp;"_"&amp;TEXT(DATE(2026,6,1),"yyyymmdd"),CHI_TIET_CHAM_CONG!$T:$U,2,FALSE()),"")</f>
        <v>P</v>
      </c>
      <c r="G19" s="21" t="str">
        <f aca="false">IFERROR(VLOOKUP($B19&amp;"_"&amp;TEXT(DATE(2026,6,2),"yyyymmdd"),CHI_TIET_CHAM_CONG!$T:$U,2,FALSE()),"")</f>
        <v>P</v>
      </c>
      <c r="H19" s="21" t="str">
        <f aca="false">IFERROR(VLOOKUP($B19&amp;"_"&amp;TEXT(DATE(2026,6,3),"yyyymmdd"),CHI_TIET_CHAM_CONG!$T:$U,2,FALSE()),"")</f>
        <v>P</v>
      </c>
      <c r="I19" s="21" t="str">
        <f aca="false">IFERROR(VLOOKUP($B19&amp;"_"&amp;TEXT(DATE(2026,6,4),"yyyymmdd"),CHI_TIET_CHAM_CONG!$T:$U,2,FALSE()),"")</f>
        <v>L</v>
      </c>
      <c r="J19" s="21" t="str">
        <f aca="false">IFERROR(VLOOKUP($B19&amp;"_"&amp;TEXT(DATE(2026,6,5),"yyyymmdd"),CHI_TIET_CHAM_CONG!$T:$U,2,FALSE()),"")</f>
        <v>P</v>
      </c>
      <c r="K19" s="21" t="str">
        <f aca="false">IFERROR(VLOOKUP($B19&amp;"_"&amp;TEXT(DATE(2026,6,6),"yyyymmdd"),CHI_TIET_CHAM_CONG!$T:$U,2,FALSE()),"")</f>
        <v>P</v>
      </c>
      <c r="L19" s="21" t="s">
        <v>124</v>
      </c>
      <c r="M19" s="21" t="str">
        <f aca="false">IFERROR(VLOOKUP($B19&amp;"_"&amp;TEXT(DATE(2026,6,8),"yyyymmdd"),CHI_TIET_CHAM_CONG!$T:$U,2,FALSE()),"")</f>
        <v>P</v>
      </c>
      <c r="N19" s="21" t="str">
        <f aca="false">IFERROR(VLOOKUP($B19&amp;"_"&amp;TEXT(DATE(2026,6,9),"yyyymmdd"),CHI_TIET_CHAM_CONG!$T:$U,2,FALSE()),"")</f>
        <v>P</v>
      </c>
      <c r="O19" s="21" t="str">
        <f aca="false">IFERROR(VLOOKUP($B19&amp;"_"&amp;TEXT(DATE(2026,6,10),"yyyymmdd"),CHI_TIET_CHAM_CONG!$T:$U,2,FALSE()),"")</f>
        <v>KL</v>
      </c>
      <c r="P19" s="21" t="str">
        <f aca="false">IFERROR(VLOOKUP($B19&amp;"_"&amp;TEXT(DATE(2026,6,11),"yyyymmdd"),CHI_TIET_CHAM_CONG!$T:$U,2,FALSE()),"")</f>
        <v>P</v>
      </c>
      <c r="Q19" s="21" t="str">
        <f aca="false">IFERROR(VLOOKUP($B19&amp;"_"&amp;TEXT(DATE(2026,6,12),"yyyymmdd"),CHI_TIET_CHAM_CONG!$T:$U,2,FALSE()),"")</f>
        <v>L</v>
      </c>
      <c r="R19" s="21" t="str">
        <f aca="false">IFERROR(VLOOKUP($B19&amp;"_"&amp;TEXT(DATE(2026,6,13),"yyyymmdd"),CHI_TIET_CHAM_CONG!$T:$U,2,FALSE()),"")</f>
        <v>P</v>
      </c>
      <c r="S19" s="21" t="s">
        <v>124</v>
      </c>
      <c r="T19" s="21" t="str">
        <f aca="false">IFERROR(VLOOKUP($B19&amp;"_"&amp;TEXT(DATE(2026,6,15),"yyyymmdd"),CHI_TIET_CHAM_CONG!$T:$U,2,FALSE()),"")</f>
        <v>P</v>
      </c>
      <c r="U19" s="21" t="str">
        <f aca="false">IFERROR(VLOOKUP($B19&amp;"_"&amp;TEXT(DATE(2026,6,16),"yyyymmdd"),CHI_TIET_CHAM_CONG!$T:$U,2,FALSE()),"")</f>
        <v>P</v>
      </c>
      <c r="V19" s="21" t="str">
        <f aca="false">IFERROR(VLOOKUP($B19&amp;"_"&amp;TEXT(DATE(2026,6,17),"yyyymmdd"),CHI_TIET_CHAM_CONG!$T:$U,2,FALSE()),"")</f>
        <v>P</v>
      </c>
      <c r="W19" s="21" t="str">
        <f aca="false">IFERROR(VLOOKUP($B19&amp;"_"&amp;TEXT(DATE(2026,6,18),"yyyymmdd"),CHI_TIET_CHAM_CONG!$T:$U,2,FALSE()),"")</f>
        <v>P</v>
      </c>
      <c r="X19" s="21" t="str">
        <f aca="false">IFERROR(VLOOKUP($B19&amp;"_"&amp;TEXT(DATE(2026,6,19),"yyyymmdd"),CHI_TIET_CHAM_CONG!$T:$U,2,FALSE()),"")</f>
        <v>P</v>
      </c>
      <c r="Y19" s="21" t="str">
        <f aca="false">IFERROR(VLOOKUP($B19&amp;"_"&amp;TEXT(DATE(2026,6,20),"yyyymmdd"),CHI_TIET_CHAM_CONG!$T:$U,2,FALSE()),"")</f>
        <v>P</v>
      </c>
      <c r="Z19" s="21" t="s">
        <v>124</v>
      </c>
      <c r="AA19" s="21" t="str">
        <f aca="false">IFERROR(VLOOKUP($B19&amp;"_"&amp;TEXT(DATE(2026,6,22),"yyyymmdd"),CHI_TIET_CHAM_CONG!$T:$U,2,FALSE()),"")</f>
        <v>P</v>
      </c>
      <c r="AB19" s="21" t="str">
        <f aca="false">IFERROR(VLOOKUP($B19&amp;"_"&amp;TEXT(DATE(2026,6,23),"yyyymmdd"),CHI_TIET_CHAM_CONG!$T:$U,2,FALSE()),"")</f>
        <v>P</v>
      </c>
      <c r="AC19" s="21" t="str">
        <f aca="false">IFERROR(VLOOKUP($B19&amp;"_"&amp;TEXT(DATE(2026,6,24),"yyyymmdd"),CHI_TIET_CHAM_CONG!$T:$U,2,FALSE()),"")</f>
        <v>P</v>
      </c>
      <c r="AD19" s="21" t="str">
        <f aca="false">IFERROR(VLOOKUP($B19&amp;"_"&amp;TEXT(DATE(2026,6,25),"yyyymmdd"),CHI_TIET_CHAM_CONG!$T:$U,2,FALSE()),"")</f>
        <v>P</v>
      </c>
      <c r="AE19" s="21" t="str">
        <f aca="false">IFERROR(VLOOKUP($B19&amp;"_"&amp;TEXT(DATE(2026,6,26),"yyyymmdd"),CHI_TIET_CHAM_CONG!$T:$U,2,FALSE()),"")</f>
        <v>P</v>
      </c>
      <c r="AF19" s="21" t="str">
        <f aca="false">IFERROR(VLOOKUP($B19&amp;"_"&amp;TEXT(DATE(2026,6,27),"yyyymmdd"),CHI_TIET_CHAM_CONG!$T:$U,2,FALSE()),"")</f>
        <v>P</v>
      </c>
      <c r="AG19" s="21" t="s">
        <v>124</v>
      </c>
      <c r="AH19" s="21" t="str">
        <f aca="false">IFERROR(VLOOKUP($B19&amp;"_"&amp;TEXT(DATE(2026,6,29),"yyyymmdd"),CHI_TIET_CHAM_CONG!$T:$U,2,FALSE()),"")</f>
        <v>P</v>
      </c>
      <c r="AI19" s="21" t="str">
        <f aca="false">IFERROR(VLOOKUP($B19&amp;"_"&amp;TEXT(DATE(2026,6,30),"yyyymmdd"),CHI_TIET_CHAM_CONG!$T:$U,2,FALSE()),"")</f>
        <v>L</v>
      </c>
      <c r="AJ19" s="22" t="n">
        <f aca="false">COUNTIF(F19:AI19,"P")+COUNTIF(F19:AI19,"L")</f>
        <v>25</v>
      </c>
      <c r="AK19" s="22" t="n">
        <f aca="false">COUNTIF(F19:AI19,"L")</f>
        <v>3</v>
      </c>
      <c r="AL19" s="22" t="n">
        <f aca="false">COUNTIF(F19:AI19,"A")</f>
        <v>0</v>
      </c>
      <c r="AM19" s="22" t="n">
        <f aca="false">COUNTIF(F19:AI19,"NP")+COUNTIF(F19:AI19,"KL")</f>
        <v>1</v>
      </c>
      <c r="AN19" s="23" t="n">
        <f aca="false">SUMIF(CHI_TIET_CHAM_CONG!$B:$B,$B19,CHI_TIET_CHAM_CONG!$Q:$Q)</f>
        <v>7.5</v>
      </c>
    </row>
    <row r="20" customFormat="false" ht="15" hidden="false" customHeight="false" outlineLevel="0" collapsed="false">
      <c r="A20" s="24"/>
      <c r="B20" s="24"/>
      <c r="C20" s="24" t="s">
        <v>214</v>
      </c>
      <c r="D20" s="24"/>
      <c r="E20" s="24"/>
      <c r="AJ20" s="25" t="n">
        <f aca="false">SUM(AJ5:AJ19)</f>
        <v>352</v>
      </c>
      <c r="AK20" s="25" t="n">
        <f aca="false">SUM(AK5:AK19)</f>
        <v>39</v>
      </c>
      <c r="AL20" s="25" t="n">
        <f aca="false">SUM(AL5:AL19)</f>
        <v>12</v>
      </c>
      <c r="AM20" s="25" t="n">
        <f aca="false">SUM(AM5:AM19)</f>
        <v>26</v>
      </c>
      <c r="AN20" s="26" t="n">
        <f aca="false">SUM(AN5:AN19)</f>
        <v>81</v>
      </c>
    </row>
    <row r="22" customFormat="false" ht="15" hidden="false" customHeight="false" outlineLevel="0" collapsed="false">
      <c r="A22" s="27" t="s">
        <v>215</v>
      </c>
      <c r="B22" s="2" t="s">
        <v>216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</sheetData>
  <mergeCells count="14">
    <mergeCell ref="A1:AN1"/>
    <mergeCell ref="A2:AN2"/>
    <mergeCell ref="A3:A4"/>
    <mergeCell ref="B3:B4"/>
    <mergeCell ref="C3:C4"/>
    <mergeCell ref="D3:D4"/>
    <mergeCell ref="E3:E4"/>
    <mergeCell ref="AJ3:AJ4"/>
    <mergeCell ref="AK3:AK4"/>
    <mergeCell ref="AL3:AL4"/>
    <mergeCell ref="AM3:AM4"/>
    <mergeCell ref="AN3:AN4"/>
    <mergeCell ref="A20:B20"/>
    <mergeCell ref="B22:O22"/>
  </mergeCells>
  <conditionalFormatting sqref="F5:AI19">
    <cfRule type="cellIs" priority="2" operator="equal" aboveAverage="0" equalAverage="0" bottom="0" percent="0" rank="0" text="" dxfId="0">
      <formula>"P"</formula>
    </cfRule>
    <cfRule type="cellIs" priority="3" operator="equal" aboveAverage="0" equalAverage="0" bottom="0" percent="0" rank="0" text="" dxfId="1">
      <formula>"L"</formula>
    </cfRule>
    <cfRule type="cellIs" priority="4" operator="equal" aboveAverage="0" equalAverage="0" bottom="0" percent="0" rank="0" text="" dxfId="2">
      <formula>"A"</formula>
    </cfRule>
    <cfRule type="cellIs" priority="5" operator="equal" aboveAverage="0" equalAverage="0" bottom="0" percent="0" rank="0" text="" dxfId="3">
      <formula>"NP"</formula>
    </cfRule>
    <cfRule type="cellIs" priority="6" operator="equal" aboveAverage="0" equalAverage="0" bottom="0" percent="0" rank="0" text="" dxfId="4">
      <formula>"KL"</formula>
    </cfRule>
    <cfRule type="cellIs" priority="7" operator="equal" aboveAverage="0" equalAverage="0" bottom="0" percent="0" rank="0" text="" dxfId="5">
      <formula>"CN"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2026-06-23T05:51:19Z</dcterms:created>
  <dc:creator>openpyxl</dc:creator>
  <dc:description/>
  <dc:language>en-US</dc:language>
  <cp:lastModifiedBy/>
  <dcterms:modified xsi:type="dcterms:W3CDTF">2026-06-23T05:51:20Z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